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主管報告" sheetId="2" state="visible" r:id="rId4"/>
    <sheet name="差異明細" sheetId="3" state="visible" r:id="rId5"/>
    <sheet name="本週_2026" sheetId="4" state="visible" r:id="rId6"/>
    <sheet name="本週_2027" sheetId="5" state="visible" r:id="rId7"/>
    <sheet name="前期_2026" sheetId="6" state="visible" r:id="rId8"/>
    <sheet name="前期_2027" sheetId="7" state="visible" r:id="rId9"/>
  </sheets>
  <definedNames>
    <definedName function="false" hidden="false" localSheetId="1" name="_xlnm.Print_Area" vbProcedure="false">主管報告!$A$1:$L$52</definedName>
    <definedName function="false" hidden="true" localSheetId="2" name="_xlnm._FilterDatabase" vbProcedure="false">差異明細!$A$4:$P$74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<sst xmlns="http://schemas.openxmlformats.org/spreadsheetml/2006/main" count="599" uniqueCount="88">
  <si>
    <r>
      <rPr>
        <b val="true"/>
        <sz val="16"/>
        <color rgb="FF1F3864"/>
        <rFont val="Arial"/>
        <family val="0"/>
        <charset val="1"/>
      </rPr>
      <t xml:space="preserve">TOMS </t>
    </r>
    <r>
      <rPr>
        <b val="true"/>
        <sz val="16"/>
        <color rgb="FF1F3864"/>
        <rFont val="WenQuanYi Zen Hei"/>
        <family val="2"/>
      </rPr>
      <t xml:space="preserve">雙週 </t>
    </r>
    <r>
      <rPr>
        <b val="true"/>
        <sz val="16"/>
        <color rgb="FF1F3864"/>
        <rFont val="Arial"/>
        <family val="0"/>
        <charset val="1"/>
      </rPr>
      <t xml:space="preserve">PJT </t>
    </r>
    <r>
      <rPr>
        <b val="true"/>
        <sz val="16"/>
        <color rgb="FF1F3864"/>
        <rFont val="WenQuanYi Zen Hei"/>
        <family val="2"/>
      </rPr>
      <t xml:space="preserve">差異（</t>
    </r>
    <r>
      <rPr>
        <b val="true"/>
        <sz val="16"/>
        <color rgb="FF1F3864"/>
        <rFont val="Arial"/>
        <family val="0"/>
        <charset val="1"/>
      </rPr>
      <t xml:space="preserve">2026 / 2027</t>
    </r>
    <r>
      <rPr>
        <b val="true"/>
        <sz val="16"/>
        <color rgb="FF1F3864"/>
        <rFont val="WenQuanYi Zen Hei"/>
        <family val="2"/>
      </rPr>
      <t xml:space="preserve">）</t>
    </r>
  </si>
  <si>
    <r>
      <rPr>
        <sz val="11"/>
        <color rgb="FF595959"/>
        <rFont val="WenQuanYi Zen Hei"/>
        <family val="2"/>
      </rPr>
      <t xml:space="preserve">每週三由 </t>
    </r>
    <r>
      <rPr>
        <sz val="11"/>
        <color rgb="FF595959"/>
        <rFont val="Arial"/>
        <family val="0"/>
        <charset val="1"/>
      </rPr>
      <t xml:space="preserve">Carrie </t>
    </r>
    <r>
      <rPr>
        <sz val="11"/>
        <color rgb="FF595959"/>
        <rFont val="WenQuanYi Zen Hei"/>
        <family val="2"/>
      </rPr>
      <t xml:space="preserve">更新，比較本週與前期（兩週前）的 </t>
    </r>
    <r>
      <rPr>
        <sz val="11"/>
        <color rgb="FF595959"/>
        <rFont val="Arial"/>
        <family val="0"/>
        <charset val="1"/>
      </rPr>
      <t xml:space="preserve">BIS </t>
    </r>
    <r>
      <rPr>
        <sz val="11"/>
        <color rgb="FF595959"/>
        <rFont val="WenQuanYi Zen Hei"/>
        <family val="2"/>
      </rPr>
      <t xml:space="preserve">資料</t>
    </r>
  </si>
  <si>
    <t xml:space="preserve">報告日期</t>
  </si>
  <si>
    <r>
      <rPr>
        <sz val="11"/>
        <color rgb="FF595959"/>
        <rFont val="WenQuanYi Zen Hei"/>
        <family val="2"/>
      </rPr>
      <t xml:space="preserve">本週 </t>
    </r>
    <r>
      <rPr>
        <sz val="11"/>
        <color rgb="FF595959"/>
        <rFont val="Arial"/>
        <family val="0"/>
        <charset val="1"/>
      </rPr>
      <t xml:space="preserve">BIS </t>
    </r>
    <r>
      <rPr>
        <sz val="11"/>
        <color rgb="FF595959"/>
        <rFont val="WenQuanYi Zen Hei"/>
        <family val="2"/>
      </rPr>
      <t xml:space="preserve">撈取日期（每週三）</t>
    </r>
  </si>
  <si>
    <t xml:space="preserve">比較基準日期</t>
  </si>
  <si>
    <r>
      <rPr>
        <sz val="11"/>
        <color rgb="FF595959"/>
        <rFont val="WenQuanYi Zen Hei"/>
        <family val="2"/>
      </rPr>
      <t xml:space="preserve">前期 </t>
    </r>
    <r>
      <rPr>
        <sz val="11"/>
        <color rgb="FF595959"/>
        <rFont val="Arial"/>
        <family val="0"/>
        <charset val="1"/>
      </rPr>
      <t xml:space="preserve">BIS </t>
    </r>
    <r>
      <rPr>
        <sz val="11"/>
        <color rgb="FF595959"/>
        <rFont val="WenQuanYi Zen Hei"/>
        <family val="2"/>
      </rPr>
      <t xml:space="preserve">撈取日期（兩週前的週三）</t>
    </r>
  </si>
  <si>
    <t xml:space="preserve">標打差異門檻</t>
  </si>
  <si>
    <r>
      <rPr>
        <sz val="11"/>
        <color rgb="FF595959"/>
        <rFont val="WenQuanYi Zen Hei"/>
        <family val="2"/>
      </rPr>
      <t xml:space="preserve">任一 </t>
    </r>
    <r>
      <rPr>
        <sz val="11"/>
        <color rgb="FF595959"/>
        <rFont val="Arial"/>
        <family val="0"/>
        <charset val="1"/>
      </rPr>
      <t xml:space="preserve">Program</t>
    </r>
    <r>
      <rPr>
        <sz val="11"/>
        <color rgb="FF595959"/>
        <rFont val="WenQuanYi Zen Hei"/>
        <family val="2"/>
      </rPr>
      <t xml:space="preserve">、任一期間的標打增減達此數量，就標示「需說明」。預設 </t>
    </r>
    <r>
      <rPr>
        <sz val="11"/>
        <color rgb="FF595959"/>
        <rFont val="Arial"/>
        <family val="0"/>
        <charset val="1"/>
      </rPr>
      <t xml:space="preserve">3,000 </t>
    </r>
    <r>
      <rPr>
        <sz val="11"/>
        <color rgb="FF595959"/>
        <rFont val="WenQuanYi Zen Hei"/>
        <family val="2"/>
      </rPr>
      <t xml:space="preserve">標打 </t>
    </r>
    <r>
      <rPr>
        <sz val="11"/>
        <color rgb="FF595959"/>
        <rFont val="Arial"/>
        <family val="0"/>
        <charset val="1"/>
      </rPr>
      <t xml:space="preserve">= 0.3 </t>
    </r>
    <r>
      <rPr>
        <sz val="11"/>
        <color rgb="FF595959"/>
        <rFont val="WenQuanYi Zen Hei"/>
        <family val="2"/>
      </rPr>
      <t xml:space="preserve">萬</t>
    </r>
  </si>
  <si>
    <r>
      <rPr>
        <b val="true"/>
        <sz val="11"/>
        <rFont val="Arial"/>
        <family val="0"/>
        <charset val="1"/>
      </rPr>
      <t xml:space="preserve">NCMT </t>
    </r>
    <r>
      <rPr>
        <b val="true"/>
        <sz val="11"/>
        <rFont val="WenQuanYi Zen Hei"/>
        <family val="2"/>
      </rPr>
      <t xml:space="preserve">差異門檻</t>
    </r>
  </si>
  <si>
    <r>
      <rPr>
        <sz val="11"/>
        <color rgb="FF595959"/>
        <rFont val="Arial"/>
        <family val="0"/>
        <charset val="1"/>
      </rPr>
      <t xml:space="preserve">NCMT</t>
    </r>
    <r>
      <rPr>
        <sz val="11"/>
        <color rgb="FF595959"/>
        <rFont val="WenQuanYi Zen Hei"/>
        <family val="2"/>
      </rPr>
      <t xml:space="preserve">（成改後）增減達此金額，也標示「需說明」</t>
    </r>
  </si>
  <si>
    <t xml:space="preserve">填表人</t>
  </si>
  <si>
    <t xml:space="preserve">Carrie</t>
  </si>
  <si>
    <t xml:space="preserve">每週操作步驟</t>
  </si>
  <si>
    <r>
      <rPr>
        <sz val="11"/>
        <rFont val="Arial"/>
        <family val="0"/>
        <charset val="1"/>
      </rPr>
      <t xml:space="preserve">1. </t>
    </r>
    <r>
      <rPr>
        <sz val="11"/>
        <rFont val="WenQuanYi Zen Hei"/>
        <family val="2"/>
      </rPr>
      <t xml:space="preserve">從 </t>
    </r>
    <r>
      <rPr>
        <sz val="11"/>
        <rFont val="Arial"/>
        <family val="0"/>
        <charset val="1"/>
      </rPr>
      <t xml:space="preserve">BIS </t>
    </r>
    <r>
      <rPr>
        <sz val="11"/>
        <rFont val="WenQuanYi Zen Hei"/>
        <family val="2"/>
      </rPr>
      <t xml:space="preserve">撈取 </t>
    </r>
    <r>
      <rPr>
        <sz val="11"/>
        <rFont val="Arial"/>
        <family val="0"/>
        <charset val="1"/>
      </rPr>
      <t xml:space="preserve">TOMS 2026</t>
    </r>
    <r>
      <rPr>
        <sz val="11"/>
        <rFont val="WenQuanYi Zen Hei"/>
        <family val="2"/>
      </rPr>
      <t xml:space="preserve">、</t>
    </r>
    <r>
      <rPr>
        <sz val="11"/>
        <rFont val="Arial"/>
        <family val="0"/>
        <charset val="1"/>
      </rPr>
      <t xml:space="preserve">2027 </t>
    </r>
    <r>
      <rPr>
        <sz val="11"/>
        <rFont val="WenQuanYi Zen Hei"/>
        <family val="2"/>
      </rPr>
      <t xml:space="preserve">兩張表（與本檔附的格式相同）。</t>
    </r>
  </si>
  <si>
    <r>
      <rPr>
        <sz val="11"/>
        <rFont val="Arial"/>
        <family val="0"/>
        <charset val="1"/>
      </rPr>
      <t xml:space="preserve">2. </t>
    </r>
    <r>
      <rPr>
        <sz val="11"/>
        <rFont val="WenQuanYi Zen Hei"/>
        <family val="2"/>
      </rPr>
      <t xml:space="preserve">把「前期</t>
    </r>
    <r>
      <rPr>
        <sz val="11"/>
        <rFont val="Arial"/>
        <family val="0"/>
        <charset val="1"/>
      </rPr>
      <t xml:space="preserve">_2026</t>
    </r>
    <r>
      <rPr>
        <sz val="11"/>
        <rFont val="WenQuanYi Zen Hei"/>
        <family val="2"/>
      </rPr>
      <t xml:space="preserve">」「前期</t>
    </r>
    <r>
      <rPr>
        <sz val="11"/>
        <rFont val="Arial"/>
        <family val="0"/>
        <charset val="1"/>
      </rPr>
      <t xml:space="preserve">_2027</t>
    </r>
    <r>
      <rPr>
        <sz val="11"/>
        <rFont val="WenQuanYi Zen Hei"/>
        <family val="2"/>
      </rPr>
      <t xml:space="preserve">」換成兩週前的 </t>
    </r>
    <r>
      <rPr>
        <sz val="11"/>
        <rFont val="Arial"/>
        <family val="0"/>
        <charset val="1"/>
      </rPr>
      <t xml:space="preserve">BIS </t>
    </r>
    <r>
      <rPr>
        <sz val="11"/>
        <rFont val="WenQuanYi Zen Hei"/>
        <family val="2"/>
      </rPr>
      <t xml:space="preserve">資料：整張貼到 </t>
    </r>
    <r>
      <rPr>
        <sz val="11"/>
        <rFont val="Arial"/>
        <family val="0"/>
        <charset val="1"/>
      </rPr>
      <t xml:space="preserve">A1</t>
    </r>
    <r>
      <rPr>
        <sz val="11"/>
        <rFont val="WenQuanYi Zen Hei"/>
        <family val="2"/>
      </rPr>
      <t xml:space="preserve">。（通常就是兩週前那份檔案的「本週」頁）</t>
    </r>
  </si>
  <si>
    <r>
      <rPr>
        <sz val="11"/>
        <rFont val="Arial"/>
        <family val="0"/>
        <charset val="1"/>
      </rPr>
      <t xml:space="preserve">3. </t>
    </r>
    <r>
      <rPr>
        <sz val="11"/>
        <rFont val="WenQuanYi Zen Hei"/>
        <family val="2"/>
      </rPr>
      <t xml:space="preserve">把本週撈的資料整張貼到「本週</t>
    </r>
    <r>
      <rPr>
        <sz val="11"/>
        <rFont val="Arial"/>
        <family val="0"/>
        <charset val="1"/>
      </rPr>
      <t xml:space="preserve">_2026</t>
    </r>
    <r>
      <rPr>
        <sz val="11"/>
        <rFont val="WenQuanYi Zen Hei"/>
        <family val="2"/>
      </rPr>
      <t xml:space="preserve">」「本週</t>
    </r>
    <r>
      <rPr>
        <sz val="11"/>
        <rFont val="Arial"/>
        <family val="0"/>
        <charset val="1"/>
      </rPr>
      <t xml:space="preserve">_2027</t>
    </r>
    <r>
      <rPr>
        <sz val="11"/>
        <rFont val="WenQuanYi Zen Hei"/>
        <family val="2"/>
      </rPr>
      <t xml:space="preserve">」的 </t>
    </r>
    <r>
      <rPr>
        <sz val="11"/>
        <rFont val="Arial"/>
        <family val="0"/>
        <charset val="1"/>
      </rPr>
      <t xml:space="preserve">A1</t>
    </r>
    <r>
      <rPr>
        <sz val="11"/>
        <rFont val="WenQuanYi Zen Hei"/>
        <family val="2"/>
      </rPr>
      <t xml:space="preserve">。欄位順序或月份欄變多都沒關係，公式會自己找「</t>
    </r>
    <r>
      <rPr>
        <sz val="11"/>
        <rFont val="Arial"/>
        <family val="0"/>
        <charset val="1"/>
      </rPr>
      <t xml:space="preserve">2026</t>
    </r>
    <r>
      <rPr>
        <sz val="11"/>
        <rFont val="WenQuanYi Zen Hei"/>
        <family val="2"/>
      </rPr>
      <t xml:space="preserve">」「</t>
    </r>
    <r>
      <rPr>
        <sz val="11"/>
        <rFont val="Arial"/>
        <family val="0"/>
        <charset val="1"/>
      </rPr>
      <t xml:space="preserve">2026-Q1</t>
    </r>
    <r>
      <rPr>
        <sz val="11"/>
        <rFont val="WenQuanYi Zen Hei"/>
        <family val="2"/>
      </rPr>
      <t xml:space="preserve">」等欄名。</t>
    </r>
  </si>
  <si>
    <r>
      <rPr>
        <sz val="11"/>
        <rFont val="Arial"/>
        <family val="0"/>
        <charset val="1"/>
      </rPr>
      <t xml:space="preserve">4. </t>
    </r>
    <r>
      <rPr>
        <sz val="11"/>
        <rFont val="WenQuanYi Zen Hei"/>
        <family val="2"/>
      </rPr>
      <t xml:space="preserve">更新上方黃色格的報告日期、比較基準日期。</t>
    </r>
  </si>
  <si>
    <r>
      <rPr>
        <sz val="11"/>
        <rFont val="Arial"/>
        <family val="0"/>
        <charset val="1"/>
      </rPr>
      <t xml:space="preserve">5. </t>
    </r>
    <r>
      <rPr>
        <sz val="11"/>
        <rFont val="WenQuanYi Zen Hei"/>
        <family val="2"/>
      </rPr>
      <t xml:space="preserve">到「差異明細」頁，用篩選只看「需說明」的列，填寫黃色的「原因」（下拉選單）和「說明」。</t>
    </r>
  </si>
  <si>
    <r>
      <rPr>
        <sz val="11"/>
        <rFont val="Arial"/>
        <family val="0"/>
        <charset val="1"/>
      </rPr>
      <t xml:space="preserve">6. </t>
    </r>
    <r>
      <rPr>
        <sz val="11"/>
        <rFont val="WenQuanYi Zen Hei"/>
        <family val="2"/>
      </rPr>
      <t xml:space="preserve">「主管報告」頁會自動更新，可直接列印、轉 </t>
    </r>
    <r>
      <rPr>
        <sz val="11"/>
        <rFont val="Arial"/>
        <family val="0"/>
        <charset val="1"/>
      </rPr>
      <t xml:space="preserve">PDF</t>
    </r>
    <r>
      <rPr>
        <sz val="11"/>
        <rFont val="WenQuanYi Zen Hei"/>
        <family val="2"/>
      </rPr>
      <t xml:space="preserve">，或截圖貼進每週三的信。</t>
    </r>
  </si>
  <si>
    <r>
      <rPr>
        <sz val="11"/>
        <rFont val="Arial"/>
        <family val="0"/>
        <charset val="1"/>
      </rPr>
      <t xml:space="preserve">7. </t>
    </r>
    <r>
      <rPr>
        <sz val="11"/>
        <rFont val="WenQuanYi Zen Hei"/>
        <family val="2"/>
      </rPr>
      <t xml:space="preserve">另存新檔，檔名建議：</t>
    </r>
    <r>
      <rPr>
        <sz val="11"/>
        <rFont val="Arial"/>
        <family val="0"/>
        <charset val="1"/>
      </rPr>
      <t xml:space="preserve">TOMS_</t>
    </r>
    <r>
      <rPr>
        <sz val="11"/>
        <rFont val="WenQuanYi Zen Hei"/>
        <family val="2"/>
      </rPr>
      <t xml:space="preserve">雙週差</t>
    </r>
    <r>
      <rPr>
        <sz val="11"/>
        <rFont val="Arial"/>
        <family val="0"/>
        <charset val="1"/>
      </rPr>
      <t xml:space="preserve">_YYYYMMDD.xlsx</t>
    </r>
    <r>
      <rPr>
        <sz val="11"/>
        <rFont val="WenQuanYi Zen Hei"/>
        <family val="2"/>
      </rPr>
      <t xml:space="preserve">。下週再用時，清空「原因」「說明」兩欄。</t>
    </r>
  </si>
  <si>
    <t xml:space="preserve">顏色說明</t>
  </si>
  <si>
    <t xml:space="preserve">黃底藍字</t>
  </si>
  <si>
    <t xml:space="preserve">需要手動填寫的格子</t>
  </si>
  <si>
    <t xml:space="preserve">橘底</t>
  </si>
  <si>
    <t xml:space="preserve">差異超過門檻、需要說明的列</t>
  </si>
  <si>
    <t xml:space="preserve">白底黑字</t>
  </si>
  <si>
    <t xml:space="preserve">公式自動計算，請勿修改</t>
  </si>
  <si>
    <t xml:space="preserve">填寫範例</t>
  </si>
  <si>
    <t xml:space="preserve">欄位</t>
  </si>
  <si>
    <t xml:space="preserve">範例內容</t>
  </si>
  <si>
    <t xml:space="preserve">Program</t>
  </si>
  <si>
    <t xml:space="preserve">YEARLY RUN-ACT300</t>
  </si>
  <si>
    <t xml:space="preserve">期間</t>
  </si>
  <si>
    <r>
      <rPr>
        <sz val="11"/>
        <rFont val="Arial"/>
        <family val="0"/>
        <charset val="1"/>
      </rPr>
      <t xml:space="preserve">2026-Q3</t>
    </r>
    <r>
      <rPr>
        <sz val="11"/>
        <rFont val="WenQuanYi Zen Hei"/>
        <family val="2"/>
      </rPr>
      <t xml:space="preserve">（同時 </t>
    </r>
    <r>
      <rPr>
        <sz val="11"/>
        <rFont val="Arial"/>
        <family val="0"/>
        <charset val="1"/>
      </rPr>
      <t xml:space="preserve">2026-Q4 </t>
    </r>
    <r>
      <rPr>
        <sz val="11"/>
        <rFont val="WenQuanYi Zen Hei"/>
        <family val="2"/>
      </rPr>
      <t xml:space="preserve">也有反向差異）</t>
    </r>
  </si>
  <si>
    <t xml:space="preserve">差異標打</t>
  </si>
  <si>
    <r>
      <rPr>
        <sz val="11"/>
        <rFont val="Arial"/>
        <family val="0"/>
        <charset val="1"/>
      </rPr>
      <t xml:space="preserve">−57,000</t>
    </r>
    <r>
      <rPr>
        <sz val="11"/>
        <rFont val="WenQuanYi Zen Hei"/>
        <family val="2"/>
      </rPr>
      <t xml:space="preserve">（</t>
    </r>
    <r>
      <rPr>
        <sz val="11"/>
        <rFont val="Arial"/>
        <family val="0"/>
        <charset val="1"/>
      </rPr>
      <t xml:space="preserve">Q4 </t>
    </r>
    <r>
      <rPr>
        <sz val="11"/>
        <rFont val="WenQuanYi Zen Hei"/>
        <family val="2"/>
      </rPr>
      <t xml:space="preserve">為 </t>
    </r>
    <r>
      <rPr>
        <sz val="11"/>
        <rFont val="Arial"/>
        <family val="0"/>
        <charset val="1"/>
      </rPr>
      <t xml:space="preserve">+57,000</t>
    </r>
    <r>
      <rPr>
        <sz val="11"/>
        <rFont val="WenQuanYi Zen Hei"/>
        <family val="2"/>
      </rPr>
      <t xml:space="preserve">）</t>
    </r>
  </si>
  <si>
    <t xml:space="preserve">原因</t>
  </si>
  <si>
    <t xml:space="preserve">季別移動</t>
  </si>
  <si>
    <t xml:space="preserve">說明</t>
  </si>
  <si>
    <r>
      <rPr>
        <sz val="11"/>
        <rFont val="WenQuanYi Zen Hei"/>
        <family val="2"/>
      </rPr>
      <t xml:space="preserve">客戶 </t>
    </r>
    <r>
      <rPr>
        <sz val="11"/>
        <rFont val="Arial"/>
        <family val="0"/>
        <charset val="1"/>
      </rPr>
      <t xml:space="preserve">9 </t>
    </r>
    <r>
      <rPr>
        <sz val="11"/>
        <rFont val="WenQuanYi Zen Hei"/>
        <family val="2"/>
      </rPr>
      <t xml:space="preserve">月出貨延到 </t>
    </r>
    <r>
      <rPr>
        <sz val="11"/>
        <rFont val="Arial"/>
        <family val="0"/>
        <charset val="1"/>
      </rPr>
      <t xml:space="preserve">10 </t>
    </r>
    <r>
      <rPr>
        <sz val="11"/>
        <rFont val="WenQuanYi Zen Hei"/>
        <family val="2"/>
      </rPr>
      <t xml:space="preserve">月，全年總量不變（此列為格式範例，非實際資料）</t>
    </r>
  </si>
  <si>
    <r>
      <rPr>
        <i val="true"/>
        <sz val="11"/>
        <color rgb="FF808080"/>
        <rFont val="WenQuanYi Zen Hei"/>
        <family val="2"/>
      </rPr>
      <t xml:space="preserve">資料來源：</t>
    </r>
    <r>
      <rPr>
        <i val="true"/>
        <sz val="11"/>
        <color rgb="FF808080"/>
        <rFont val="Arial"/>
        <family val="0"/>
        <charset val="1"/>
      </rPr>
      <t xml:space="preserve">BIS </t>
    </r>
    <r>
      <rPr>
        <i val="true"/>
        <sz val="11"/>
        <color rgb="FF808080"/>
        <rFont val="WenQuanYi Zen Hei"/>
        <family val="2"/>
      </rPr>
      <t xml:space="preserve">撈取之 </t>
    </r>
    <r>
      <rPr>
        <i val="true"/>
        <sz val="11"/>
        <color rgb="FF808080"/>
        <rFont val="Arial"/>
        <family val="0"/>
        <charset val="1"/>
      </rPr>
      <t xml:space="preserve">TOMS 2026</t>
    </r>
    <r>
      <rPr>
        <i val="true"/>
        <sz val="11"/>
        <color rgb="FF808080"/>
        <rFont val="WenQuanYi Zen Hei"/>
        <family val="2"/>
      </rPr>
      <t xml:space="preserve">、</t>
    </r>
    <r>
      <rPr>
        <i val="true"/>
        <sz val="11"/>
        <color rgb="FF808080"/>
        <rFont val="Arial"/>
        <family val="0"/>
        <charset val="1"/>
      </rPr>
      <t xml:space="preserve">2027 PJT</t>
    </r>
    <r>
      <rPr>
        <i val="true"/>
        <sz val="11"/>
        <color rgb="FF808080"/>
        <rFont val="WenQuanYi Zen Hei"/>
        <family val="2"/>
      </rPr>
      <t xml:space="preserve">（標打、</t>
    </r>
    <r>
      <rPr>
        <i val="true"/>
        <sz val="11"/>
        <color rgb="FF808080"/>
        <rFont val="Arial"/>
        <family val="0"/>
        <charset val="1"/>
      </rPr>
      <t xml:space="preserve">NET_CMT_</t>
    </r>
    <r>
      <rPr>
        <i val="true"/>
        <sz val="11"/>
        <color rgb="FF808080"/>
        <rFont val="WenQuanYi Zen Hei"/>
        <family val="2"/>
      </rPr>
      <t xml:space="preserve">標打</t>
    </r>
    <r>
      <rPr>
        <i val="true"/>
        <sz val="11"/>
        <color rgb="FF808080"/>
        <rFont val="Arial"/>
        <family val="0"/>
        <charset val="1"/>
      </rPr>
      <t xml:space="preserve">_</t>
    </r>
    <r>
      <rPr>
        <i val="true"/>
        <sz val="11"/>
        <color rgb="FF808080"/>
        <rFont val="WenQuanYi Zen Hei"/>
        <family val="2"/>
      </rPr>
      <t xml:space="preserve">成改後），由 </t>
    </r>
    <r>
      <rPr>
        <i val="true"/>
        <sz val="11"/>
        <color rgb="FF808080"/>
        <rFont val="Arial"/>
        <family val="0"/>
        <charset val="1"/>
      </rPr>
      <t xml:space="preserve">Joyce </t>
    </r>
    <r>
      <rPr>
        <i val="true"/>
        <sz val="11"/>
        <color rgb="FF808080"/>
        <rFont val="WenQuanYi Zen Hei"/>
        <family val="2"/>
      </rPr>
      <t xml:space="preserve">提供格式。</t>
    </r>
  </si>
  <si>
    <r>
      <rPr>
        <b val="true"/>
        <sz val="16"/>
        <color rgb="FF1F3864"/>
        <rFont val="Arial"/>
        <family val="0"/>
        <charset val="1"/>
      </rPr>
      <t xml:space="preserve">TOMS </t>
    </r>
    <r>
      <rPr>
        <b val="true"/>
        <sz val="16"/>
        <color rgb="FF1F3864"/>
        <rFont val="WenQuanYi Zen Hei"/>
        <family val="2"/>
      </rPr>
      <t xml:space="preserve">雙週 </t>
    </r>
    <r>
      <rPr>
        <b val="true"/>
        <sz val="16"/>
        <color rgb="FF1F3864"/>
        <rFont val="Arial"/>
        <family val="0"/>
        <charset val="1"/>
      </rPr>
      <t xml:space="preserve">PJT </t>
    </r>
    <r>
      <rPr>
        <b val="true"/>
        <sz val="16"/>
        <color rgb="FF1F3864"/>
        <rFont val="WenQuanYi Zen Hei"/>
        <family val="2"/>
      </rPr>
      <t xml:space="preserve">差異報告</t>
    </r>
  </si>
  <si>
    <r>
      <rPr>
        <b val="true"/>
        <sz val="12"/>
        <color rgb="FF1F3864"/>
        <rFont val="WenQuanYi Zen Hei"/>
        <family val="2"/>
      </rPr>
      <t xml:space="preserve">一、總覽（</t>
    </r>
    <r>
      <rPr>
        <b val="true"/>
        <sz val="12"/>
        <color rgb="FF1F3864"/>
        <rFont val="Arial"/>
        <family val="0"/>
        <charset val="1"/>
      </rPr>
      <t xml:space="preserve">All Program</t>
    </r>
    <r>
      <rPr>
        <b val="true"/>
        <sz val="12"/>
        <color rgb="FF1F3864"/>
        <rFont val="WenQuanYi Zen Hei"/>
        <family val="2"/>
      </rPr>
      <t xml:space="preserve">）</t>
    </r>
  </si>
  <si>
    <t xml:space="preserve">年度</t>
  </si>
  <si>
    <t xml:space="preserve">本週標打</t>
  </si>
  <si>
    <t xml:space="preserve">前期標打</t>
  </si>
  <si>
    <r>
      <rPr>
        <b val="true"/>
        <sz val="11"/>
        <color rgb="FFFFFFFF"/>
        <rFont val="WenQuanYi Zen Hei"/>
        <family val="2"/>
      </rPr>
      <t xml:space="preserve">差異</t>
    </r>
    <r>
      <rPr>
        <b val="true"/>
        <sz val="11"/>
        <color rgb="FFFFFFFF"/>
        <rFont val="Arial"/>
        <family val="0"/>
        <charset val="1"/>
      </rPr>
      <t xml:space="preserve">%</t>
    </r>
  </si>
  <si>
    <r>
      <rPr>
        <b val="true"/>
        <sz val="11"/>
        <color rgb="FFFFFFFF"/>
        <rFont val="WenQuanYi Zen Hei"/>
        <family val="2"/>
      </rPr>
      <t xml:space="preserve">本週</t>
    </r>
    <r>
      <rPr>
        <b val="true"/>
        <sz val="11"/>
        <color rgb="FFFFFFFF"/>
        <rFont val="Arial"/>
        <family val="0"/>
        <charset val="1"/>
      </rPr>
      <t xml:space="preserve">NCMT</t>
    </r>
  </si>
  <si>
    <r>
      <rPr>
        <b val="true"/>
        <sz val="11"/>
        <color rgb="FFFFFFFF"/>
        <rFont val="WenQuanYi Zen Hei"/>
        <family val="2"/>
      </rPr>
      <t xml:space="preserve">前期</t>
    </r>
    <r>
      <rPr>
        <b val="true"/>
        <sz val="11"/>
        <color rgb="FFFFFFFF"/>
        <rFont val="Arial"/>
        <family val="0"/>
        <charset val="1"/>
      </rPr>
      <t xml:space="preserve">NCMT</t>
    </r>
  </si>
  <si>
    <r>
      <rPr>
        <b val="true"/>
        <sz val="11"/>
        <color rgb="FFFFFFFF"/>
        <rFont val="WenQuanYi Zen Hei"/>
        <family val="2"/>
      </rPr>
      <t xml:space="preserve">差異</t>
    </r>
    <r>
      <rPr>
        <b val="true"/>
        <sz val="11"/>
        <color rgb="FFFFFFFF"/>
        <rFont val="Arial"/>
        <family val="0"/>
        <charset val="1"/>
      </rPr>
      <t xml:space="preserve">NCMT</t>
    </r>
  </si>
  <si>
    <t xml:space="preserve">2026</t>
  </si>
  <si>
    <t xml:space="preserve">2027</t>
  </si>
  <si>
    <r>
      <rPr>
        <b val="true"/>
        <sz val="12"/>
        <color rgb="FF1F3864"/>
        <rFont val="WenQuanYi Zen Hei"/>
        <family val="2"/>
      </rPr>
      <t xml:space="preserve">二、</t>
    </r>
    <r>
      <rPr>
        <b val="true"/>
        <sz val="12"/>
        <color rgb="FF1F3864"/>
        <rFont val="Arial"/>
        <family val="0"/>
        <charset val="1"/>
      </rPr>
      <t xml:space="preserve">2026 </t>
    </r>
    <r>
      <rPr>
        <b val="true"/>
        <sz val="12"/>
        <color rgb="FF1F3864"/>
        <rFont val="WenQuanYi Zen Hei"/>
        <family val="2"/>
      </rPr>
      <t xml:space="preserve">雙週差（標打，單位：萬）</t>
    </r>
  </si>
  <si>
    <t xml:space="preserve">2026-Q1</t>
  </si>
  <si>
    <t xml:space="preserve">2026-Q2</t>
  </si>
  <si>
    <t xml:space="preserve">2026-Q3</t>
  </si>
  <si>
    <t xml:space="preserve">2026-Q4</t>
  </si>
  <si>
    <r>
      <rPr>
        <b val="true"/>
        <sz val="11"/>
        <color rgb="FFFFFFFF"/>
        <rFont val="WenQuanYi Zen Hei"/>
        <family val="2"/>
      </rPr>
      <t xml:space="preserve">本週全年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萬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</si>
  <si>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NCMT</t>
    </r>
    <r>
      <rPr>
        <b val="true"/>
        <sz val="11"/>
        <color rgb="FFFFFFFF"/>
        <rFont val="WenQuanYi Zen Hei"/>
        <family val="2"/>
      </rPr>
      <t xml:space="preserve">差異</t>
    </r>
  </si>
  <si>
    <t xml:space="preserve">總計</t>
  </si>
  <si>
    <t xml:space="preserve">SEASONAL</t>
  </si>
  <si>
    <t xml:space="preserve">SEASONAL-SWEATER</t>
  </si>
  <si>
    <t xml:space="preserve">YEARLY RUN-304ALT</t>
  </si>
  <si>
    <t xml:space="preserve">YEARLY RUN-AIT350</t>
  </si>
  <si>
    <t xml:space="preserve">YEARLY RUN-POLO</t>
  </si>
  <si>
    <r>
      <rPr>
        <b val="true"/>
        <sz val="12"/>
        <color rgb="FF1F3864"/>
        <rFont val="WenQuanYi Zen Hei"/>
        <family val="2"/>
      </rPr>
      <t xml:space="preserve">三、</t>
    </r>
    <r>
      <rPr>
        <b val="true"/>
        <sz val="12"/>
        <color rgb="FF1F3864"/>
        <rFont val="Arial"/>
        <family val="0"/>
        <charset val="1"/>
      </rPr>
      <t xml:space="preserve">2027 </t>
    </r>
    <r>
      <rPr>
        <b val="true"/>
        <sz val="12"/>
        <color rgb="FF1F3864"/>
        <rFont val="WenQuanYi Zen Hei"/>
        <family val="2"/>
      </rPr>
      <t xml:space="preserve">雙週差（標打，單位：萬）</t>
    </r>
  </si>
  <si>
    <t xml:space="preserve">2027-Q1</t>
  </si>
  <si>
    <t xml:space="preserve">2027-Q2</t>
  </si>
  <si>
    <t xml:space="preserve">2027-Q3</t>
  </si>
  <si>
    <t xml:space="preserve">2027-Q4</t>
  </si>
  <si>
    <t xml:space="preserve">四、差異說明（超過門檻的項目）</t>
  </si>
  <si>
    <r>
      <rPr>
        <i val="true"/>
        <sz val="9"/>
        <color rgb="FF808080"/>
        <rFont val="WenQuanYi Zen Hei"/>
        <family val="2"/>
      </rPr>
      <t xml:space="preserve">資料來源：</t>
    </r>
    <r>
      <rPr>
        <i val="true"/>
        <sz val="9"/>
        <color rgb="FF808080"/>
        <rFont val="Arial"/>
        <family val="0"/>
        <charset val="1"/>
      </rPr>
      <t xml:space="preserve">BIS</t>
    </r>
    <r>
      <rPr>
        <i val="true"/>
        <sz val="9"/>
        <color rgb="FF808080"/>
        <rFont val="WenQuanYi Zen Hei"/>
        <family val="2"/>
      </rPr>
      <t xml:space="preserve">（</t>
    </r>
    <r>
      <rPr>
        <i val="true"/>
        <sz val="9"/>
        <color rgb="FF808080"/>
        <rFont val="Arial"/>
        <family val="0"/>
        <charset val="1"/>
      </rPr>
      <t xml:space="preserve">TOMS PJT</t>
    </r>
    <r>
      <rPr>
        <i val="true"/>
        <sz val="9"/>
        <color rgb="FF808080"/>
        <rFont val="WenQuanYi Zen Hei"/>
        <family val="2"/>
      </rPr>
      <t xml:space="preserve">，</t>
    </r>
    <r>
      <rPr>
        <i val="true"/>
        <sz val="9"/>
        <color rgb="FF808080"/>
        <rFont val="Arial"/>
        <family val="0"/>
        <charset val="1"/>
      </rPr>
      <t xml:space="preserve">All Iscfm</t>
    </r>
    <r>
      <rPr>
        <i val="true"/>
        <sz val="9"/>
        <color rgb="FF808080"/>
        <rFont val="WenQuanYi Zen Hei"/>
        <family val="2"/>
      </rPr>
      <t xml:space="preserve">），本週與前期撈取資料比較。標打為件數換算之標準打數；</t>
    </r>
    <r>
      <rPr>
        <i val="true"/>
        <sz val="9"/>
        <color rgb="FF808080"/>
        <rFont val="Arial"/>
        <family val="0"/>
        <charset val="1"/>
      </rPr>
      <t xml:space="preserve">NCMT </t>
    </r>
    <r>
      <rPr>
        <i val="true"/>
        <sz val="9"/>
        <color rgb="FF808080"/>
        <rFont val="WenQuanYi Zen Hei"/>
        <family val="2"/>
      </rPr>
      <t xml:space="preserve">為 </t>
    </r>
    <r>
      <rPr>
        <i val="true"/>
        <sz val="9"/>
        <color rgb="FF808080"/>
        <rFont val="Arial"/>
        <family val="0"/>
        <charset val="1"/>
      </rPr>
      <t xml:space="preserve">NET_CMT_</t>
    </r>
    <r>
      <rPr>
        <i val="true"/>
        <sz val="9"/>
        <color rgb="FF808080"/>
        <rFont val="WenQuanYi Zen Hei"/>
        <family val="2"/>
      </rPr>
      <t xml:space="preserve">標打</t>
    </r>
    <r>
      <rPr>
        <i val="true"/>
        <sz val="9"/>
        <color rgb="FF808080"/>
        <rFont val="Arial"/>
        <family val="0"/>
        <charset val="1"/>
      </rPr>
      <t xml:space="preserve">_</t>
    </r>
    <r>
      <rPr>
        <i val="true"/>
        <sz val="9"/>
        <color rgb="FF808080"/>
        <rFont val="WenQuanYi Zen Hei"/>
        <family val="2"/>
      </rPr>
      <t xml:space="preserve">成改後。</t>
    </r>
  </si>
  <si>
    <t xml:space="preserve">差異明細與說明</t>
  </si>
  <si>
    <t xml:space="preserve">期間鍵</t>
  </si>
  <si>
    <t xml:space="preserve">需說明</t>
  </si>
  <si>
    <t xml:space="preserve">序號</t>
  </si>
  <si>
    <t xml:space="preserve">確認人</t>
  </si>
  <si>
    <t xml:space="preserve">All Program</t>
  </si>
  <si>
    <t xml:space="preserve">全年</t>
  </si>
  <si>
    <t xml:space="preserve">Q1</t>
  </si>
  <si>
    <t xml:space="preserve">Q2</t>
  </si>
  <si>
    <t xml:space="preserve">Q3</t>
  </si>
  <si>
    <t xml:space="preserve">Q4</t>
  </si>
  <si>
    <t xml:space="preserve">標打</t>
  </si>
  <si>
    <t xml:space="preserve">All Iscfm</t>
  </si>
  <si>
    <r>
      <rPr>
        <sz val="11"/>
        <color rgb="FF0000FF"/>
        <rFont val="Arial"/>
        <family val="0"/>
        <charset val="1"/>
      </rPr>
      <t xml:space="preserve">NET_CMT_</t>
    </r>
    <r>
      <rPr>
        <sz val="11"/>
        <color rgb="FF0000FF"/>
        <rFont val="WenQuanYi Zen Hei"/>
        <family val="2"/>
      </rPr>
      <t xml:space="preserve">標打</t>
    </r>
    <r>
      <rPr>
        <sz val="11"/>
        <color rgb="FF0000FF"/>
        <rFont val="Arial"/>
        <family val="0"/>
        <charset val="1"/>
      </rPr>
      <t xml:space="preserve">_</t>
    </r>
    <r>
      <rPr>
        <sz val="11"/>
        <color rgb="FF0000FF"/>
        <rFont val="WenQuanYi Zen Hei"/>
        <family val="2"/>
      </rPr>
      <t xml:space="preserve">成改後</t>
    </r>
  </si>
  <si>
    <t xml:space="preserve">已進單</t>
  </si>
  <si>
    <t xml:space="preserve">待確認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</si>
</sst>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yyyy/mm/dd"/>
    <numFmt numFmtId="166" formatCode="#,##0"/>
    <numFmt numFmtId="167" formatCode="0.00"/>
    <numFmt numFmtId="168" formatCode="#,##0;[RED]\-#,##0;\-"/>
    <numFmt numFmtId="169" formatCode="0.0%;[RED]\-0.0%;\-"/>
    <numFmt numFmtId="170" formatCode="0.00;[RED]\-0.00;\-"/>
    <numFmt numFmtId="171" formatCode="\+0.0;[RED]\-0.0;\-"/>
    <numFmt numFmtId="172" formatCode="#,##0.0;\-#,##0.0;\-"/>
    <numFmt numFmtId="173" formatCode="\+0.00;[RED]\-0.00;\-"/>
    <numFmt numFmtId="174" formatCode="\+#,##0;[RED]\-#,##0;\-"/>
    <numFmt numFmtId="175" formatCode="0"/>
    <numFmt numFmtId="176" formatCode="0.00;\-0.00;\-"/>
    <numFmt numFmtId="177" formatCode="#,##0.00"/>
    <numFmt numFmtId="178" formatCode="yyyy/mm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6"/>
      <color rgb="FF1F3864"/>
      <name val="WenQuanYi Zen Hei"/>
      <family val="2"/>
    </font>
    <font>
      <sz val="11"/>
      <color rgb="FF595959"/>
      <name val="WenQuanYi Zen Hei"/>
      <family val="2"/>
    </font>
    <font>
      <sz val="11"/>
      <color rgb="FF595959"/>
      <name val="Arial"/>
      <family val="0"/>
      <charset val="1"/>
    </font>
    <font>
      <b val="true"/>
      <sz val="11"/>
      <name val="WenQuanYi Zen Hei"/>
      <family val="2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WenQuanYi Zen Hei"/>
      <family val="2"/>
    </font>
    <font>
      <sz val="11"/>
      <name val="Arial"/>
      <family val="0"/>
      <charset val="1"/>
    </font>
    <font>
      <sz val="11"/>
      <name val="WenQuanYi Zen Hei"/>
      <family val="2"/>
    </font>
    <font>
      <sz val="11"/>
      <color rgb="FF0000FF"/>
      <name val="WenQuanYi Zen Hei"/>
      <family val="2"/>
    </font>
    <font>
      <sz val="11"/>
      <color theme="1"/>
      <name val="WenQuanYi Zen Hei"/>
      <family val="2"/>
    </font>
    <font>
      <b val="true"/>
      <sz val="11"/>
      <color rgb="FFFFFFFF"/>
      <name val="WenQuanYi Zen Hei"/>
      <family val="2"/>
    </font>
    <font>
      <i val="true"/>
      <sz val="11"/>
      <color rgb="FF808080"/>
      <name val="WenQuanYi Zen Hei"/>
      <family val="2"/>
    </font>
    <font>
      <i val="true"/>
      <sz val="11"/>
      <color rgb="FF80808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WenQuanYi Zen Hei"/>
      <family val="2"/>
    </font>
    <font>
      <i val="true"/>
      <sz val="9"/>
      <color rgb="FF808080"/>
      <name val="Arial"/>
      <family val="0"/>
      <charset val="1"/>
    </font>
    <font>
      <b val="true"/>
      <sz val="14"/>
      <color rgb="FF1F3864"/>
      <name val="WenQuanYi Zen Hei"/>
      <family val="2"/>
    </font>
    <font>
      <b val="true"/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C0000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70"/>
  </cols>
  <sheetData>
    <row r="2" customFormat="false" ht="20.8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46302</v>
      </c>
      <c r="D5" s="2" t="s">
        <v>3</v>
      </c>
    </row>
    <row r="6" customFormat="false" ht="15" hidden="false" customHeight="false" outlineLevel="0" collapsed="false">
      <c r="B6" s="3" t="s">
        <v>4</v>
      </c>
      <c r="C6" s="4" t="n">
        <v>46288</v>
      </c>
      <c r="D6" s="2" t="s">
        <v>5</v>
      </c>
    </row>
    <row r="7" customFormat="false" ht="15" hidden="false" customHeight="false" outlineLevel="0" collapsed="false">
      <c r="B7" s="3" t="s">
        <v>6</v>
      </c>
      <c r="C7" s="5" t="n">
        <v>3000</v>
      </c>
      <c r="D7" s="2" t="s">
        <v>7</v>
      </c>
    </row>
    <row r="8" customFormat="false" ht="15" hidden="false" customHeight="false" outlineLevel="0" collapsed="false">
      <c r="B8" s="6" t="s">
        <v>8</v>
      </c>
      <c r="C8" s="7" t="n">
        <v>0.3</v>
      </c>
      <c r="D8" s="8" t="s">
        <v>9</v>
      </c>
    </row>
    <row r="9" customFormat="false" ht="15" hidden="false" customHeight="false" outlineLevel="0" collapsed="false">
      <c r="B9" s="3" t="s">
        <v>10</v>
      </c>
      <c r="C9" s="9" t="s">
        <v>11</v>
      </c>
      <c r="D9" s="2"/>
    </row>
    <row r="11" customFormat="false" ht="15" hidden="false" customHeight="false" outlineLevel="0" collapsed="false">
      <c r="B11" s="10" t="s">
        <v>12</v>
      </c>
    </row>
    <row r="12" customFormat="false" ht="15" hidden="false" customHeight="false" outlineLevel="0" collapsed="false">
      <c r="B12" s="11" t="s">
        <v>13</v>
      </c>
    </row>
    <row r="13" customFormat="false" ht="15" hidden="false" customHeight="false" outlineLevel="0" collapsed="false">
      <c r="B13" s="11" t="s">
        <v>14</v>
      </c>
    </row>
    <row r="14" customFormat="false" ht="15" hidden="false" customHeight="false" outlineLevel="0" collapsed="false">
      <c r="B14" s="11" t="s">
        <v>15</v>
      </c>
    </row>
    <row r="15" customFormat="false" ht="15" hidden="false" customHeight="false" outlineLevel="0" collapsed="false">
      <c r="B15" s="11" t="s">
        <v>16</v>
      </c>
    </row>
    <row r="16" customFormat="false" ht="15" hidden="false" customHeight="false" outlineLevel="0" collapsed="false">
      <c r="B16" s="11" t="s">
        <v>17</v>
      </c>
    </row>
    <row r="17" customFormat="false" ht="15" hidden="false" customHeight="false" outlineLevel="0" collapsed="false">
      <c r="B17" s="11" t="s">
        <v>18</v>
      </c>
    </row>
    <row r="18" customFormat="false" ht="15" hidden="false" customHeight="false" outlineLevel="0" collapsed="false">
      <c r="B18" s="11" t="s">
        <v>19</v>
      </c>
    </row>
    <row r="20" customFormat="false" ht="15" hidden="false" customHeight="false" outlineLevel="0" collapsed="false">
      <c r="B20" s="10" t="s">
        <v>20</v>
      </c>
    </row>
    <row r="21" customFormat="false" ht="15" hidden="false" customHeight="false" outlineLevel="0" collapsed="false">
      <c r="B21" s="12" t="s">
        <v>21</v>
      </c>
      <c r="C21" s="13" t="s">
        <v>22</v>
      </c>
    </row>
    <row r="22" customFormat="false" ht="15" hidden="false" customHeight="false" outlineLevel="0" collapsed="false">
      <c r="B22" s="14" t="s">
        <v>23</v>
      </c>
      <c r="C22" s="13" t="s">
        <v>24</v>
      </c>
    </row>
    <row r="23" customFormat="false" ht="15" hidden="false" customHeight="false" outlineLevel="0" collapsed="false">
      <c r="B23" s="13" t="s">
        <v>25</v>
      </c>
      <c r="C23" s="13" t="s">
        <v>26</v>
      </c>
    </row>
    <row r="25" customFormat="false" ht="15" hidden="false" customHeight="false" outlineLevel="0" collapsed="false">
      <c r="B25" s="10" t="s">
        <v>27</v>
      </c>
    </row>
    <row r="26" customFormat="false" ht="15" hidden="false" customHeight="false" outlineLevel="0" collapsed="false">
      <c r="B26" s="15" t="s">
        <v>28</v>
      </c>
      <c r="C26" s="15" t="s">
        <v>29</v>
      </c>
    </row>
    <row r="27" customFormat="false" ht="15" hidden="false" customHeight="false" outlineLevel="0" collapsed="false">
      <c r="B27" s="6" t="s">
        <v>30</v>
      </c>
      <c r="C27" s="16" t="s">
        <v>31</v>
      </c>
      <c r="D27" s="16"/>
    </row>
    <row r="28" customFormat="false" ht="15" hidden="false" customHeight="false" outlineLevel="0" collapsed="false">
      <c r="B28" s="3" t="s">
        <v>32</v>
      </c>
      <c r="C28" s="16" t="s">
        <v>33</v>
      </c>
      <c r="D28" s="16"/>
    </row>
    <row r="29" customFormat="false" ht="15" hidden="false" customHeight="false" outlineLevel="0" collapsed="false">
      <c r="B29" s="3" t="s">
        <v>34</v>
      </c>
      <c r="C29" s="16" t="s">
        <v>35</v>
      </c>
      <c r="D29" s="16"/>
    </row>
    <row r="30" customFormat="false" ht="15" hidden="false" customHeight="false" outlineLevel="0" collapsed="false">
      <c r="B30" s="3" t="s">
        <v>36</v>
      </c>
      <c r="C30" s="17" t="s">
        <v>37</v>
      </c>
      <c r="D30" s="17"/>
    </row>
    <row r="31" customFormat="false" ht="15" hidden="false" customHeight="false" outlineLevel="0" collapsed="false">
      <c r="B31" s="3" t="s">
        <v>38</v>
      </c>
      <c r="C31" s="17" t="s">
        <v>39</v>
      </c>
      <c r="D31" s="17"/>
    </row>
    <row r="33" customFormat="false" ht="15" hidden="false" customHeight="false" outlineLevel="0" collapsed="false">
      <c r="B33" s="18" t="s">
        <v>40</v>
      </c>
    </row>
  </sheetData>
  <mergeCells count="5">
    <mergeCell ref="C27:D27"/>
    <mergeCell ref="C28:D28"/>
    <mergeCell ref="C29:D29"/>
    <mergeCell ref="C30:D30"/>
    <mergeCell ref="C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1"/>
  </cols>
  <sheetData>
    <row r="1" customFormat="false" ht="20.8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tr">
        <f aca="false">"報告日 "&amp;TEXT(說明!$C$5,"yyyy/mm/dd")&amp;"（比較基準 "&amp;TEXT(說明!$C$6,"yyyy/mm/dd")&amp;"）　｜　填表："&amp;說明!$C$9</f>
        <v>報告日 2026/10/07（比較基準 2026/09/23）　｜　填表：Carrie</v>
      </c>
    </row>
    <row r="4" customFormat="false" ht="16.4" hidden="false" customHeight="false" outlineLevel="0" collapsed="false">
      <c r="A4" s="10" t="s">
        <v>42</v>
      </c>
    </row>
    <row r="5" customFormat="false" ht="15" hidden="false" customHeight="false" outlineLevel="0" collapsed="false">
      <c r="A5" s="15" t="s">
        <v>43</v>
      </c>
      <c r="B5" s="15" t="s">
        <v>44</v>
      </c>
      <c r="C5" s="15" t="s">
        <v>45</v>
      </c>
      <c r="D5" s="15" t="s">
        <v>34</v>
      </c>
      <c r="E5" s="15" t="s">
        <v>46</v>
      </c>
      <c r="F5" s="15" t="s">
        <v>47</v>
      </c>
      <c r="G5" s="15" t="s">
        <v>48</v>
      </c>
      <c r="H5" s="15" t="s">
        <v>49</v>
      </c>
    </row>
    <row r="6" customFormat="false" ht="15" hidden="false" customHeight="false" outlineLevel="0" collapsed="false">
      <c r="A6" s="19" t="s">
        <v>50</v>
      </c>
      <c r="B6" s="20" t="n">
        <f aca="false">SUMIFS(差異明細!$E:$E,差異明細!$A:$A,2026,差異明細!$B:$B,"All Program",差異明細!$C:$C,2026)</f>
        <v>988688.2</v>
      </c>
      <c r="C6" s="20" t="n">
        <f aca="false">SUMIFS(差異明細!$F:$F,差異明細!$A:$A,2026,差異明細!$B:$B,"All Program",差異明細!$C:$C,2026)</f>
        <v>988688.2</v>
      </c>
      <c r="D6" s="20" t="n">
        <f aca="false">B6-C6</f>
        <v>0</v>
      </c>
      <c r="E6" s="21" t="n">
        <f aca="false">IF(C6=0,"",D6/C6)</f>
        <v>0</v>
      </c>
      <c r="F6" s="22" t="n">
        <f aca="false">SUMIFS(差異明細!$I:$I,差異明細!$A:$A,2026,差異明細!$B:$B,"All Program",差異明細!$C:$C,2026)</f>
        <v>19.16</v>
      </c>
      <c r="G6" s="22" t="n">
        <f aca="false">SUMIFS(差異明細!$J:$J,差異明細!$A:$A,2026,差異明細!$B:$B,"All Program",差異明細!$C:$C,2026)</f>
        <v>19.16</v>
      </c>
      <c r="H6" s="23" t="n">
        <f aca="false">F6-G6</f>
        <v>0</v>
      </c>
    </row>
    <row r="7" customFormat="false" ht="15" hidden="false" customHeight="false" outlineLevel="0" collapsed="false">
      <c r="A7" s="19" t="s">
        <v>51</v>
      </c>
      <c r="B7" s="20" t="n">
        <f aca="false">SUMIFS(差異明細!$E:$E,差異明細!$A:$A,2027,差異明細!$B:$B,"All Program",差異明細!$C:$C,2027)</f>
        <v>884101.9</v>
      </c>
      <c r="C7" s="20" t="n">
        <f aca="false">SUMIFS(差異明細!$F:$F,差異明細!$A:$A,2027,差異明細!$B:$B,"All Program",差異明細!$C:$C,2027)</f>
        <v>884101.9</v>
      </c>
      <c r="D7" s="20" t="n">
        <f aca="false">B7-C7</f>
        <v>0</v>
      </c>
      <c r="E7" s="21" t="n">
        <f aca="false">IF(C7=0,"",D7/C7)</f>
        <v>0</v>
      </c>
      <c r="F7" s="22" t="n">
        <f aca="false">SUMIFS(差異明細!$I:$I,差異明細!$A:$A,2027,差異明細!$B:$B,"All Program",差異明細!$C:$C,2027)</f>
        <v>18.75</v>
      </c>
      <c r="G7" s="22" t="n">
        <f aca="false">SUMIFS(差異明細!$J:$J,差異明細!$A:$A,2027,差異明細!$B:$B,"All Program",差異明細!$C:$C,2027)</f>
        <v>18.75</v>
      </c>
      <c r="H7" s="23" t="n">
        <f aca="false">F7-G7</f>
        <v>0</v>
      </c>
    </row>
    <row r="9" customFormat="false" ht="16.4" hidden="false" customHeight="false" outlineLevel="0" collapsed="false">
      <c r="A9" s="10" t="s">
        <v>52</v>
      </c>
    </row>
    <row r="10" customFormat="false" ht="15" hidden="false" customHeight="false" outlineLevel="0" collapsed="false">
      <c r="A10" s="24" t="s">
        <v>30</v>
      </c>
      <c r="B10" s="24" t="s">
        <v>50</v>
      </c>
      <c r="C10" s="24" t="s">
        <v>53</v>
      </c>
      <c r="D10" s="24" t="s">
        <v>54</v>
      </c>
      <c r="E10" s="24" t="s">
        <v>55</v>
      </c>
      <c r="F10" s="24" t="s">
        <v>56</v>
      </c>
      <c r="G10" s="15" t="s">
        <v>57</v>
      </c>
      <c r="H10" s="24" t="s">
        <v>58</v>
      </c>
    </row>
    <row r="11" customFormat="false" ht="15" hidden="false" customHeight="false" outlineLevel="0" collapsed="false">
      <c r="A11" s="25" t="s">
        <v>59</v>
      </c>
      <c r="B11" s="26" t="n">
        <f aca="false">SUMIFS(差異明細!$G:$G,差異明細!$A:$A,2026,差異明細!$B:$B,"All Program",差異明細!$C:$C,2026)/10000</f>
        <v>0</v>
      </c>
      <c r="C11" s="26" t="n">
        <f aca="false">SUMIFS(差異明細!$G:$G,差異明細!$A:$A,2026,差異明細!$B:$B,"All Program",差異明細!$C:$C,"2026-Q1")/10000</f>
        <v>0</v>
      </c>
      <c r="D11" s="26" t="n">
        <f aca="false">SUMIFS(差異明細!$G:$G,差異明細!$A:$A,2026,差異明細!$B:$B,"All Program",差異明細!$C:$C,"2026-Q2")/10000</f>
        <v>0</v>
      </c>
      <c r="E11" s="26" t="n">
        <f aca="false">SUMIFS(差異明細!$G:$G,差異明細!$A:$A,2026,差異明細!$B:$B,"All Program",差異明細!$C:$C,"2026-Q3")/10000</f>
        <v>0</v>
      </c>
      <c r="F11" s="26" t="n">
        <f aca="false">SUMIFS(差異明細!$G:$G,差異明細!$A:$A,2026,差異明細!$B:$B,"All Program",差異明細!$C:$C,"2026-Q4")/10000</f>
        <v>0</v>
      </c>
      <c r="G11" s="27" t="n">
        <f aca="false">SUMIFS(差異明細!$E:$E,差異明細!$A:$A,2026,差異明細!$B:$B,"All Program",差異明細!$C:$C,2026)/10000</f>
        <v>98.86882</v>
      </c>
      <c r="H11" s="28" t="n">
        <f aca="false">SUMIFS(差異明細!$K:$K,差異明細!$A:$A,2026,差異明細!$B:$B,"All Program",差異明細!$C:$C,2026)</f>
        <v>0</v>
      </c>
    </row>
    <row r="12" customFormat="false" ht="15" hidden="false" customHeight="false" outlineLevel="0" collapsed="false">
      <c r="A12" s="29" t="s">
        <v>60</v>
      </c>
      <c r="B12" s="30" t="n">
        <f aca="false">SUMIFS(差異明細!$G:$G,差異明細!$A:$A,2026,差異明細!$B:$B,"SEASONAL",差異明細!$C:$C,2026)/10000</f>
        <v>0</v>
      </c>
      <c r="C12" s="30" t="n">
        <f aca="false">SUMIFS(差異明細!$G:$G,差異明細!$A:$A,2026,差異明細!$B:$B,"SEASONAL",差異明細!$C:$C,"2026-Q1")/10000</f>
        <v>0</v>
      </c>
      <c r="D12" s="30" t="n">
        <f aca="false">SUMIFS(差異明細!$G:$G,差異明細!$A:$A,2026,差異明細!$B:$B,"SEASONAL",差異明細!$C:$C,"2026-Q2")/10000</f>
        <v>0</v>
      </c>
      <c r="E12" s="30" t="n">
        <f aca="false">SUMIFS(差異明細!$G:$G,差異明細!$A:$A,2026,差異明細!$B:$B,"SEASONAL",差異明細!$C:$C,"2026-Q3")/10000</f>
        <v>0</v>
      </c>
      <c r="F12" s="30" t="n">
        <f aca="false">SUMIFS(差異明細!$G:$G,差異明細!$A:$A,2026,差異明細!$B:$B,"SEASONAL",差異明細!$C:$C,"2026-Q4")/10000</f>
        <v>0</v>
      </c>
      <c r="G12" s="31" t="n">
        <f aca="false">SUMIFS(差異明細!$E:$E,差異明細!$A:$A,2026,差異明細!$B:$B,"SEASONAL",差異明細!$C:$C,2026)/10000</f>
        <v>6.68478</v>
      </c>
      <c r="H12" s="32" t="n">
        <f aca="false">SUMIFS(差異明細!$K:$K,差異明細!$A:$A,2026,差異明細!$B:$B,"SEASONAL",差異明細!$C:$C,2026)</f>
        <v>0</v>
      </c>
    </row>
    <row r="13" customFormat="false" ht="15" hidden="false" customHeight="false" outlineLevel="0" collapsed="false">
      <c r="A13" s="29" t="s">
        <v>61</v>
      </c>
      <c r="B13" s="30" t="n">
        <f aca="false">SUMIFS(差異明細!$G:$G,差異明細!$A:$A,2026,差異明細!$B:$B,"SEASONAL-SWEATER",差異明細!$C:$C,2026)/10000</f>
        <v>0</v>
      </c>
      <c r="C13" s="30" t="n">
        <f aca="false">SUMIFS(差異明細!$G:$G,差異明細!$A:$A,2026,差異明細!$B:$B,"SEASONAL-SWEATER",差異明細!$C:$C,"2026-Q1")/10000</f>
        <v>0</v>
      </c>
      <c r="D13" s="30" t="n">
        <f aca="false">SUMIFS(差異明細!$G:$G,差異明細!$A:$A,2026,差異明細!$B:$B,"SEASONAL-SWEATER",差異明細!$C:$C,"2026-Q2")/10000</f>
        <v>0</v>
      </c>
      <c r="E13" s="30" t="n">
        <f aca="false">SUMIFS(差異明細!$G:$G,差異明細!$A:$A,2026,差異明細!$B:$B,"SEASONAL-SWEATER",差異明細!$C:$C,"2026-Q3")/10000</f>
        <v>0</v>
      </c>
      <c r="F13" s="30" t="n">
        <f aca="false">SUMIFS(差異明細!$G:$G,差異明細!$A:$A,2026,差異明細!$B:$B,"SEASONAL-SWEATER",差異明細!$C:$C,"2026-Q4")/10000</f>
        <v>0</v>
      </c>
      <c r="G13" s="31" t="n">
        <f aca="false">SUMIFS(差異明細!$E:$E,差異明細!$A:$A,2026,差異明細!$B:$B,"SEASONAL-SWEATER",差異明細!$C:$C,2026)/10000</f>
        <v>9.53931</v>
      </c>
      <c r="H13" s="32" t="n">
        <f aca="false">SUMIFS(差異明細!$K:$K,差異明細!$A:$A,2026,差異明細!$B:$B,"SEASONAL-SWEATER",差異明細!$C:$C,2026)</f>
        <v>0</v>
      </c>
    </row>
    <row r="14" customFormat="false" ht="15" hidden="false" customHeight="false" outlineLevel="0" collapsed="false">
      <c r="A14" s="29" t="s">
        <v>62</v>
      </c>
      <c r="B14" s="30" t="n">
        <f aca="false">SUMIFS(差異明細!$G:$G,差異明細!$A:$A,2026,差異明細!$B:$B,"YEARLY RUN-304ALT",差異明細!$C:$C,2026)/10000</f>
        <v>0</v>
      </c>
      <c r="C14" s="30" t="n">
        <f aca="false">SUMIFS(差異明細!$G:$G,差異明細!$A:$A,2026,差異明細!$B:$B,"YEARLY RUN-304ALT",差異明細!$C:$C,"2026-Q1")/10000</f>
        <v>0</v>
      </c>
      <c r="D14" s="30" t="n">
        <f aca="false">SUMIFS(差異明細!$G:$G,差異明細!$A:$A,2026,差異明細!$B:$B,"YEARLY RUN-304ALT",差異明細!$C:$C,"2026-Q2")/10000</f>
        <v>0</v>
      </c>
      <c r="E14" s="30" t="n">
        <f aca="false">SUMIFS(差異明細!$G:$G,差異明細!$A:$A,2026,差異明細!$B:$B,"YEARLY RUN-304ALT",差異明細!$C:$C,"2026-Q3")/10000</f>
        <v>0</v>
      </c>
      <c r="F14" s="30" t="n">
        <f aca="false">SUMIFS(差異明細!$G:$G,差異明細!$A:$A,2026,差異明細!$B:$B,"YEARLY RUN-304ALT",差異明細!$C:$C,"2026-Q4")/10000</f>
        <v>0</v>
      </c>
      <c r="G14" s="31" t="n">
        <f aca="false">SUMIFS(差異明細!$E:$E,差異明細!$A:$A,2026,差異明細!$B:$B,"YEARLY RUN-304ALT",差異明細!$C:$C,2026)/10000</f>
        <v>6.54958</v>
      </c>
      <c r="H14" s="32" t="n">
        <f aca="false">SUMIFS(差異明細!$K:$K,差異明細!$A:$A,2026,差異明細!$B:$B,"YEARLY RUN-304ALT",差異明細!$C:$C,2026)</f>
        <v>0</v>
      </c>
    </row>
    <row r="15" customFormat="false" ht="15" hidden="false" customHeight="false" outlineLevel="0" collapsed="false">
      <c r="A15" s="29" t="s">
        <v>31</v>
      </c>
      <c r="B15" s="30" t="n">
        <f aca="false">SUMIFS(差異明細!$G:$G,差異明細!$A:$A,2026,差異明細!$B:$B,"YEARLY RUN-ACT300",差異明細!$C:$C,2026)/10000</f>
        <v>0</v>
      </c>
      <c r="C15" s="30" t="n">
        <f aca="false">SUMIFS(差異明細!$G:$G,差異明細!$A:$A,2026,差異明細!$B:$B,"YEARLY RUN-ACT300",差異明細!$C:$C,"2026-Q1")/10000</f>
        <v>0</v>
      </c>
      <c r="D15" s="30" t="n">
        <f aca="false">SUMIFS(差異明細!$G:$G,差異明細!$A:$A,2026,差異明細!$B:$B,"YEARLY RUN-ACT300",差異明細!$C:$C,"2026-Q2")/10000</f>
        <v>0</v>
      </c>
      <c r="E15" s="30" t="n">
        <f aca="false">SUMIFS(差異明細!$G:$G,差異明細!$A:$A,2026,差異明細!$B:$B,"YEARLY RUN-ACT300",差異明細!$C:$C,"2026-Q3")/10000</f>
        <v>0</v>
      </c>
      <c r="F15" s="30" t="n">
        <f aca="false">SUMIFS(差異明細!$G:$G,差異明細!$A:$A,2026,差異明細!$B:$B,"YEARLY RUN-ACT300",差異明細!$C:$C,"2026-Q4")/10000</f>
        <v>0</v>
      </c>
      <c r="G15" s="31" t="n">
        <f aca="false">SUMIFS(差異明細!$E:$E,差異明細!$A:$A,2026,差異明細!$B:$B,"YEARLY RUN-ACT300",差異明細!$C:$C,2026)/10000</f>
        <v>57.6887</v>
      </c>
      <c r="H15" s="32" t="n">
        <f aca="false">SUMIFS(差異明細!$K:$K,差異明細!$A:$A,2026,差異明細!$B:$B,"YEARLY RUN-ACT300",差異明細!$C:$C,2026)</f>
        <v>0</v>
      </c>
    </row>
    <row r="16" customFormat="false" ht="15" hidden="false" customHeight="false" outlineLevel="0" collapsed="false">
      <c r="A16" s="29" t="s">
        <v>63</v>
      </c>
      <c r="B16" s="30" t="n">
        <f aca="false">SUMIFS(差異明細!$G:$G,差異明細!$A:$A,2026,差異明細!$B:$B,"YEARLY RUN-AIT350",差異明細!$C:$C,2026)/10000</f>
        <v>0</v>
      </c>
      <c r="C16" s="30" t="n">
        <f aca="false">SUMIFS(差異明細!$G:$G,差異明細!$A:$A,2026,差異明細!$B:$B,"YEARLY RUN-AIT350",差異明細!$C:$C,"2026-Q1")/10000</f>
        <v>0</v>
      </c>
      <c r="D16" s="30" t="n">
        <f aca="false">SUMIFS(差異明細!$G:$G,差異明細!$A:$A,2026,差異明細!$B:$B,"YEARLY RUN-AIT350",差異明細!$C:$C,"2026-Q2")/10000</f>
        <v>0</v>
      </c>
      <c r="E16" s="30" t="n">
        <f aca="false">SUMIFS(差異明細!$G:$G,差異明細!$A:$A,2026,差異明細!$B:$B,"YEARLY RUN-AIT350",差異明細!$C:$C,"2026-Q3")/10000</f>
        <v>0</v>
      </c>
      <c r="F16" s="30" t="n">
        <f aca="false">SUMIFS(差異明細!$G:$G,差異明細!$A:$A,2026,差異明細!$B:$B,"YEARLY RUN-AIT350",差異明細!$C:$C,"2026-Q4")/10000</f>
        <v>0</v>
      </c>
      <c r="G16" s="31" t="n">
        <f aca="false">SUMIFS(差異明細!$E:$E,差異明細!$A:$A,2026,差異明細!$B:$B,"YEARLY RUN-AIT350",差異明細!$C:$C,2026)/10000</f>
        <v>2.13706</v>
      </c>
      <c r="H16" s="32" t="n">
        <f aca="false">SUMIFS(差異明細!$K:$K,差異明細!$A:$A,2026,差異明細!$B:$B,"YEARLY RUN-AIT350",差異明細!$C:$C,2026)</f>
        <v>0</v>
      </c>
    </row>
    <row r="17" customFormat="false" ht="15" hidden="false" customHeight="false" outlineLevel="0" collapsed="false">
      <c r="A17" s="29" t="s">
        <v>64</v>
      </c>
      <c r="B17" s="30" t="n">
        <f aca="false">SUMIFS(差異明細!$G:$G,差異明細!$A:$A,2026,差異明細!$B:$B,"YEARLY RUN-POLO",差異明細!$C:$C,2026)/10000</f>
        <v>0</v>
      </c>
      <c r="C17" s="30" t="n">
        <f aca="false">SUMIFS(差異明細!$G:$G,差異明細!$A:$A,2026,差異明細!$B:$B,"YEARLY RUN-POLO",差異明細!$C:$C,"2026-Q1")/10000</f>
        <v>0</v>
      </c>
      <c r="D17" s="30" t="n">
        <f aca="false">SUMIFS(差異明細!$G:$G,差異明細!$A:$A,2026,差異明細!$B:$B,"YEARLY RUN-POLO",差異明細!$C:$C,"2026-Q2")/10000</f>
        <v>0</v>
      </c>
      <c r="E17" s="30" t="n">
        <f aca="false">SUMIFS(差異明細!$G:$G,差異明細!$A:$A,2026,差異明細!$B:$B,"YEARLY RUN-POLO",差異明細!$C:$C,"2026-Q3")/10000</f>
        <v>0</v>
      </c>
      <c r="F17" s="30" t="n">
        <f aca="false">SUMIFS(差異明細!$G:$G,差異明細!$A:$A,2026,差異明細!$B:$B,"YEARLY RUN-POLO",差異明細!$C:$C,"2026-Q4")/10000</f>
        <v>0</v>
      </c>
      <c r="G17" s="31" t="n">
        <f aca="false">SUMIFS(差異明細!$E:$E,差異明細!$A:$A,2026,差異明細!$B:$B,"YEARLY RUN-POLO",差異明細!$C:$C,2026)/10000</f>
        <v>16.26939</v>
      </c>
      <c r="H17" s="32" t="n">
        <f aca="false">SUMIFS(差異明細!$K:$K,差異明細!$A:$A,2026,差異明細!$B:$B,"YEARLY RUN-POLO",差異明細!$C:$C,2026)</f>
        <v>0</v>
      </c>
    </row>
    <row r="19" customFormat="false" ht="16.4" hidden="false" customHeight="false" outlineLevel="0" collapsed="false">
      <c r="A19" s="10" t="s">
        <v>65</v>
      </c>
    </row>
    <row r="20" customFormat="false" ht="15" hidden="false" customHeight="false" outlineLevel="0" collapsed="false">
      <c r="A20" s="24" t="s">
        <v>30</v>
      </c>
      <c r="B20" s="24" t="s">
        <v>51</v>
      </c>
      <c r="C20" s="24" t="s">
        <v>66</v>
      </c>
      <c r="D20" s="24" t="s">
        <v>67</v>
      </c>
      <c r="E20" s="24" t="s">
        <v>68</v>
      </c>
      <c r="F20" s="24" t="s">
        <v>69</v>
      </c>
      <c r="G20" s="15" t="s">
        <v>57</v>
      </c>
      <c r="H20" s="24" t="s">
        <v>58</v>
      </c>
    </row>
    <row r="21" customFormat="false" ht="15" hidden="false" customHeight="false" outlineLevel="0" collapsed="false">
      <c r="A21" s="25" t="s">
        <v>59</v>
      </c>
      <c r="B21" s="26" t="n">
        <f aca="false">SUMIFS(差異明細!$G:$G,差異明細!$A:$A,2027,差異明細!$B:$B,"All Program",差異明細!$C:$C,2027)/10000</f>
        <v>0</v>
      </c>
      <c r="C21" s="26" t="n">
        <f aca="false">SUMIFS(差異明細!$G:$G,差異明細!$A:$A,2027,差異明細!$B:$B,"All Program",差異明細!$C:$C,"2027-Q1")/10000</f>
        <v>0</v>
      </c>
      <c r="D21" s="26" t="n">
        <f aca="false">SUMIFS(差異明細!$G:$G,差異明細!$A:$A,2027,差異明細!$B:$B,"All Program",差異明細!$C:$C,"2027-Q2")/10000</f>
        <v>0</v>
      </c>
      <c r="E21" s="26" t="n">
        <f aca="false">SUMIFS(差異明細!$G:$G,差異明細!$A:$A,2027,差異明細!$B:$B,"All Program",差異明細!$C:$C,"2027-Q3")/10000</f>
        <v>0</v>
      </c>
      <c r="F21" s="26" t="n">
        <f aca="false">SUMIFS(差異明細!$G:$G,差異明細!$A:$A,2027,差異明細!$B:$B,"All Program",差異明細!$C:$C,"2027-Q4")/10000</f>
        <v>0</v>
      </c>
      <c r="G21" s="27" t="n">
        <f aca="false">SUMIFS(差異明細!$E:$E,差異明細!$A:$A,2027,差異明細!$B:$B,"All Program",差異明細!$C:$C,2027)/10000</f>
        <v>88.41019</v>
      </c>
      <c r="H21" s="28" t="n">
        <f aca="false">SUMIFS(差異明細!$K:$K,差異明細!$A:$A,2027,差異明細!$B:$B,"All Program",差異明細!$C:$C,2027)</f>
        <v>0</v>
      </c>
    </row>
    <row r="22" customFormat="false" ht="15" hidden="false" customHeight="false" outlineLevel="0" collapsed="false">
      <c r="A22" s="29" t="s">
        <v>60</v>
      </c>
      <c r="B22" s="30" t="n">
        <f aca="false">SUMIFS(差異明細!$G:$G,差異明細!$A:$A,2027,差異明細!$B:$B,"SEASONAL",差異明細!$C:$C,2027)/10000</f>
        <v>0</v>
      </c>
      <c r="C22" s="30" t="n">
        <f aca="false">SUMIFS(差異明細!$G:$G,差異明細!$A:$A,2027,差異明細!$B:$B,"SEASONAL",差異明細!$C:$C,"2027-Q1")/10000</f>
        <v>0</v>
      </c>
      <c r="D22" s="30" t="n">
        <f aca="false">SUMIFS(差異明細!$G:$G,差異明細!$A:$A,2027,差異明細!$B:$B,"SEASONAL",差異明細!$C:$C,"2027-Q2")/10000</f>
        <v>0</v>
      </c>
      <c r="E22" s="30" t="n">
        <f aca="false">SUMIFS(差異明細!$G:$G,差異明細!$A:$A,2027,差異明細!$B:$B,"SEASONAL",差異明細!$C:$C,"2027-Q3")/10000</f>
        <v>0</v>
      </c>
      <c r="F22" s="30" t="n">
        <f aca="false">SUMIFS(差異明細!$G:$G,差異明細!$A:$A,2027,差異明細!$B:$B,"SEASONAL",差異明細!$C:$C,"2027-Q4")/10000</f>
        <v>0</v>
      </c>
      <c r="G22" s="31" t="n">
        <f aca="false">SUMIFS(差異明細!$E:$E,差異明細!$A:$A,2027,差異明細!$B:$B,"SEASONAL",差異明細!$C:$C,2027)/10000</f>
        <v>6.77931</v>
      </c>
      <c r="H22" s="32" t="n">
        <f aca="false">SUMIFS(差異明細!$K:$K,差異明細!$A:$A,2027,差異明細!$B:$B,"SEASONAL",差異明細!$C:$C,2027)</f>
        <v>0</v>
      </c>
    </row>
    <row r="23" customFormat="false" ht="15" hidden="false" customHeight="false" outlineLevel="0" collapsed="false">
      <c r="A23" s="29" t="s">
        <v>61</v>
      </c>
      <c r="B23" s="30" t="n">
        <f aca="false">SUMIFS(差異明細!$G:$G,差異明細!$A:$A,2027,差異明細!$B:$B,"SEASONAL-SWEATER",差異明細!$C:$C,2027)/10000</f>
        <v>0</v>
      </c>
      <c r="C23" s="30" t="n">
        <f aca="false">SUMIFS(差異明細!$G:$G,差異明細!$A:$A,2027,差異明細!$B:$B,"SEASONAL-SWEATER",差異明細!$C:$C,"2027-Q1")/10000</f>
        <v>0</v>
      </c>
      <c r="D23" s="30" t="n">
        <f aca="false">SUMIFS(差異明細!$G:$G,差異明細!$A:$A,2027,差異明細!$B:$B,"SEASONAL-SWEATER",差異明細!$C:$C,"2027-Q2")/10000</f>
        <v>0</v>
      </c>
      <c r="E23" s="30" t="n">
        <f aca="false">SUMIFS(差異明細!$G:$G,差異明細!$A:$A,2027,差異明細!$B:$B,"SEASONAL-SWEATER",差異明細!$C:$C,"2027-Q3")/10000</f>
        <v>0</v>
      </c>
      <c r="F23" s="30" t="n">
        <f aca="false">SUMIFS(差異明細!$G:$G,差異明細!$A:$A,2027,差異明細!$B:$B,"SEASONAL-SWEATER",差異明細!$C:$C,"2027-Q4")/10000</f>
        <v>0</v>
      </c>
      <c r="G23" s="31" t="n">
        <f aca="false">SUMIFS(差異明細!$E:$E,差異明細!$A:$A,2027,差異明細!$B:$B,"SEASONAL-SWEATER",差異明細!$C:$C,2027)/10000</f>
        <v>8.34536</v>
      </c>
      <c r="H23" s="32" t="n">
        <f aca="false">SUMIFS(差異明細!$K:$K,差異明細!$A:$A,2027,差異明細!$B:$B,"SEASONAL-SWEATER",差異明細!$C:$C,2027)</f>
        <v>0</v>
      </c>
    </row>
    <row r="24" customFormat="false" ht="15" hidden="false" customHeight="false" outlineLevel="0" collapsed="false">
      <c r="A24" s="29" t="s">
        <v>62</v>
      </c>
      <c r="B24" s="30" t="n">
        <f aca="false">SUMIFS(差異明細!$G:$G,差異明細!$A:$A,2027,差異明細!$B:$B,"YEARLY RUN-304ALT",差異明細!$C:$C,2027)/10000</f>
        <v>0</v>
      </c>
      <c r="C24" s="30" t="n">
        <f aca="false">SUMIFS(差異明細!$G:$G,差異明細!$A:$A,2027,差異明細!$B:$B,"YEARLY RUN-304ALT",差異明細!$C:$C,"2027-Q1")/10000</f>
        <v>0</v>
      </c>
      <c r="D24" s="30" t="n">
        <f aca="false">SUMIFS(差異明細!$G:$G,差異明細!$A:$A,2027,差異明細!$B:$B,"YEARLY RUN-304ALT",差異明細!$C:$C,"2027-Q2")/10000</f>
        <v>0</v>
      </c>
      <c r="E24" s="30" t="n">
        <f aca="false">SUMIFS(差異明細!$G:$G,差異明細!$A:$A,2027,差異明細!$B:$B,"YEARLY RUN-304ALT",差異明細!$C:$C,"2027-Q3")/10000</f>
        <v>0</v>
      </c>
      <c r="F24" s="30" t="n">
        <f aca="false">SUMIFS(差異明細!$G:$G,差異明細!$A:$A,2027,差異明細!$B:$B,"YEARLY RUN-304ALT",差異明細!$C:$C,"2027-Q4")/10000</f>
        <v>0</v>
      </c>
      <c r="G24" s="31" t="n">
        <f aca="false">SUMIFS(差異明細!$E:$E,差異明細!$A:$A,2027,差異明細!$B:$B,"YEARLY RUN-304ALT",差異明細!$C:$C,2027)/10000</f>
        <v>4.715</v>
      </c>
      <c r="H24" s="32" t="n">
        <f aca="false">SUMIFS(差異明細!$K:$K,差異明細!$A:$A,2027,差異明細!$B:$B,"YEARLY RUN-304ALT",差異明細!$C:$C,2027)</f>
        <v>0</v>
      </c>
    </row>
    <row r="25" customFormat="false" ht="15" hidden="false" customHeight="false" outlineLevel="0" collapsed="false">
      <c r="A25" s="29" t="s">
        <v>31</v>
      </c>
      <c r="B25" s="30" t="n">
        <f aca="false">SUMIFS(差異明細!$G:$G,差異明細!$A:$A,2027,差異明細!$B:$B,"YEARLY RUN-ACT300",差異明細!$C:$C,2027)/10000</f>
        <v>0</v>
      </c>
      <c r="C25" s="30" t="n">
        <f aca="false">SUMIFS(差異明細!$G:$G,差異明細!$A:$A,2027,差異明細!$B:$B,"YEARLY RUN-ACT300",差異明細!$C:$C,"2027-Q1")/10000</f>
        <v>0</v>
      </c>
      <c r="D25" s="30" t="n">
        <f aca="false">SUMIFS(差異明細!$G:$G,差異明細!$A:$A,2027,差異明細!$B:$B,"YEARLY RUN-ACT300",差異明細!$C:$C,"2027-Q2")/10000</f>
        <v>0</v>
      </c>
      <c r="E25" s="30" t="n">
        <f aca="false">SUMIFS(差異明細!$G:$G,差異明細!$A:$A,2027,差異明細!$B:$B,"YEARLY RUN-ACT300",差異明細!$C:$C,"2027-Q3")/10000</f>
        <v>0</v>
      </c>
      <c r="F25" s="30" t="n">
        <f aca="false">SUMIFS(差異明細!$G:$G,差異明細!$A:$A,2027,差異明細!$B:$B,"YEARLY RUN-ACT300",差異明細!$C:$C,"2027-Q4")/10000</f>
        <v>0</v>
      </c>
      <c r="G25" s="31" t="n">
        <f aca="false">SUMIFS(差異明細!$E:$E,差異明細!$A:$A,2027,差異明細!$B:$B,"YEARLY RUN-ACT300",差異明細!$C:$C,2027)/10000</f>
        <v>48.10196</v>
      </c>
      <c r="H25" s="32" t="n">
        <f aca="false">SUMIFS(差異明細!$K:$K,差異明細!$A:$A,2027,差異明細!$B:$B,"YEARLY RUN-ACT300",差異明細!$C:$C,2027)</f>
        <v>0</v>
      </c>
    </row>
    <row r="26" customFormat="false" ht="15" hidden="false" customHeight="false" outlineLevel="0" collapsed="false">
      <c r="A26" s="29" t="s">
        <v>63</v>
      </c>
      <c r="B26" s="30" t="n">
        <f aca="false">SUMIFS(差異明細!$G:$G,差異明細!$A:$A,2027,差異明細!$B:$B,"YEARLY RUN-AIT350",差異明細!$C:$C,2027)/10000</f>
        <v>0</v>
      </c>
      <c r="C26" s="30" t="n">
        <f aca="false">SUMIFS(差異明細!$G:$G,差異明細!$A:$A,2027,差異明細!$B:$B,"YEARLY RUN-AIT350",差異明細!$C:$C,"2027-Q1")/10000</f>
        <v>0</v>
      </c>
      <c r="D26" s="30" t="n">
        <f aca="false">SUMIFS(差異明細!$G:$G,差異明細!$A:$A,2027,差異明細!$B:$B,"YEARLY RUN-AIT350",差異明細!$C:$C,"2027-Q2")/10000</f>
        <v>0</v>
      </c>
      <c r="E26" s="30" t="n">
        <f aca="false">SUMIFS(差異明細!$G:$G,差異明細!$A:$A,2027,差異明細!$B:$B,"YEARLY RUN-AIT350",差異明細!$C:$C,"2027-Q3")/10000</f>
        <v>0</v>
      </c>
      <c r="F26" s="30" t="n">
        <f aca="false">SUMIFS(差異明細!$G:$G,差異明細!$A:$A,2027,差異明細!$B:$B,"YEARLY RUN-AIT350",差異明細!$C:$C,"2027-Q4")/10000</f>
        <v>0</v>
      </c>
      <c r="G26" s="31" t="n">
        <f aca="false">SUMIFS(差異明細!$E:$E,差異明細!$A:$A,2027,差異明細!$B:$B,"YEARLY RUN-AIT350",差異明細!$C:$C,2027)/10000</f>
        <v>1.46402</v>
      </c>
      <c r="H26" s="32" t="n">
        <f aca="false">SUMIFS(差異明細!$K:$K,差異明細!$A:$A,2027,差異明細!$B:$B,"YEARLY RUN-AIT350",差異明細!$C:$C,2027)</f>
        <v>0</v>
      </c>
    </row>
    <row r="27" customFormat="false" ht="15" hidden="false" customHeight="false" outlineLevel="0" collapsed="false">
      <c r="A27" s="29" t="s">
        <v>64</v>
      </c>
      <c r="B27" s="30" t="n">
        <f aca="false">SUMIFS(差異明細!$G:$G,差異明細!$A:$A,2027,差異明細!$B:$B,"YEARLY RUN-POLO",差異明細!$C:$C,2027)/10000</f>
        <v>0</v>
      </c>
      <c r="C27" s="30" t="n">
        <f aca="false">SUMIFS(差異明細!$G:$G,差異明細!$A:$A,2027,差異明細!$B:$B,"YEARLY RUN-POLO",差異明細!$C:$C,"2027-Q1")/10000</f>
        <v>0</v>
      </c>
      <c r="D27" s="30" t="n">
        <f aca="false">SUMIFS(差異明細!$G:$G,差異明細!$A:$A,2027,差異明細!$B:$B,"YEARLY RUN-POLO",差異明細!$C:$C,"2027-Q2")/10000</f>
        <v>0</v>
      </c>
      <c r="E27" s="30" t="n">
        <f aca="false">SUMIFS(差異明細!$G:$G,差異明細!$A:$A,2027,差異明細!$B:$B,"YEARLY RUN-POLO",差異明細!$C:$C,"2027-Q3")/10000</f>
        <v>0</v>
      </c>
      <c r="F27" s="30" t="n">
        <f aca="false">SUMIFS(差異明細!$G:$G,差異明細!$A:$A,2027,差異明細!$B:$B,"YEARLY RUN-POLO",差異明細!$C:$C,"2027-Q4")/10000</f>
        <v>0</v>
      </c>
      <c r="G27" s="31" t="n">
        <f aca="false">SUMIFS(差異明細!$E:$E,差異明細!$A:$A,2027,差異明細!$B:$B,"YEARLY RUN-POLO",差異明細!$C:$C,2027)/10000</f>
        <v>19.00454</v>
      </c>
      <c r="H27" s="32" t="n">
        <f aca="false">SUMIFS(差異明細!$K:$K,差異明細!$A:$A,2027,差異明細!$B:$B,"YEARLY RUN-POLO",差異明細!$C:$C,2027)</f>
        <v>0</v>
      </c>
    </row>
    <row r="29" customFormat="false" ht="15" hidden="false" customHeight="false" outlineLevel="0" collapsed="false">
      <c r="A29" s="10" t="s">
        <v>70</v>
      </c>
    </row>
    <row r="30" customFormat="false" ht="15" hidden="false" customHeight="true" outlineLevel="0" collapsed="false">
      <c r="A30" s="24" t="s">
        <v>30</v>
      </c>
      <c r="B30" s="15" t="s">
        <v>43</v>
      </c>
      <c r="C30" s="15" t="s">
        <v>32</v>
      </c>
      <c r="D30" s="15" t="s">
        <v>34</v>
      </c>
      <c r="E30" s="15" t="s">
        <v>49</v>
      </c>
      <c r="F30" s="15" t="s">
        <v>36</v>
      </c>
      <c r="G30" s="15" t="s">
        <v>38</v>
      </c>
      <c r="H30" s="15"/>
      <c r="I30" s="15"/>
      <c r="J30" s="15"/>
      <c r="K30" s="15"/>
      <c r="L30" s="15"/>
    </row>
    <row r="31" customFormat="false" ht="15" hidden="false" customHeight="false" outlineLevel="0" collapsed="false">
      <c r="A31" s="29" t="str">
        <f aca="false">IFERROR(INDEX(差異明細!$B:$B,MATCH(1,差異明細!$M:$M,0)),"")</f>
        <v/>
      </c>
      <c r="B31" s="29" t="str">
        <f aca="false">IFERROR(INDEX(差異明細!$A:$A,MATCH(1,差異明細!$M:$M,0))&amp;"","")</f>
        <v/>
      </c>
      <c r="C31" s="29" t="str">
        <f aca="false">IFERROR(INDEX(差異明細!$D:$D,MATCH(1,差異明細!$M:$M,0)),"")</f>
        <v/>
      </c>
      <c r="D31" s="33" t="str">
        <f aca="false">IFERROR(INDEX(差異明細!$G:$G,MATCH(1,差異明細!$M:$M,0)),"")</f>
        <v/>
      </c>
      <c r="E31" s="34" t="str">
        <f aca="false">IFERROR(INDEX(差異明細!$K:$K,MATCH(1,差異明細!$M:$M,0)),"")</f>
        <v/>
      </c>
      <c r="F31" s="29" t="str">
        <f aca="false">IFERROR(IF(INDEX(差異明細!$N:$N,MATCH(1,差異明細!$M:$M,0))="","（待填）",INDEX(差異明細!$N:$N,MATCH(1,差異明細!$M:$M,0))),"")</f>
        <v/>
      </c>
      <c r="G31" s="35" t="str">
        <f aca="false">IFERROR(INDEX(差異明細!$O:$O,MATCH(1,差異明細!$M:$M,0))&amp;"","")</f>
        <v/>
      </c>
      <c r="H31" s="35"/>
      <c r="I31" s="35"/>
      <c r="J31" s="35"/>
      <c r="K31" s="35"/>
      <c r="L31" s="35"/>
    </row>
    <row r="32" customFormat="false" ht="15" hidden="false" customHeight="false" outlineLevel="0" collapsed="false">
      <c r="A32" s="29" t="str">
        <f aca="false">IFERROR(INDEX(差異明細!$B:$B,MATCH(2,差異明細!$M:$M,0)),"")</f>
        <v/>
      </c>
      <c r="B32" s="29" t="str">
        <f aca="false">IFERROR(INDEX(差異明細!$A:$A,MATCH(2,差異明細!$M:$M,0))&amp;"","")</f>
        <v/>
      </c>
      <c r="C32" s="29" t="str">
        <f aca="false">IFERROR(INDEX(差異明細!$D:$D,MATCH(2,差異明細!$M:$M,0)),"")</f>
        <v/>
      </c>
      <c r="D32" s="33" t="str">
        <f aca="false">IFERROR(INDEX(差異明細!$G:$G,MATCH(2,差異明細!$M:$M,0)),"")</f>
        <v/>
      </c>
      <c r="E32" s="34" t="str">
        <f aca="false">IFERROR(INDEX(差異明細!$K:$K,MATCH(2,差異明細!$M:$M,0)),"")</f>
        <v/>
      </c>
      <c r="F32" s="29" t="str">
        <f aca="false">IFERROR(IF(INDEX(差異明細!$N:$N,MATCH(2,差異明細!$M:$M,0))="","（待填）",INDEX(差異明細!$N:$N,MATCH(2,差異明細!$M:$M,0))),"")</f>
        <v/>
      </c>
      <c r="G32" s="35" t="str">
        <f aca="false">IFERROR(INDEX(差異明細!$O:$O,MATCH(2,差異明細!$M:$M,0))&amp;"","")</f>
        <v/>
      </c>
      <c r="H32" s="35"/>
      <c r="I32" s="35"/>
      <c r="J32" s="35"/>
      <c r="K32" s="35"/>
      <c r="L32" s="35"/>
    </row>
    <row r="33" customFormat="false" ht="15" hidden="false" customHeight="false" outlineLevel="0" collapsed="false">
      <c r="A33" s="29" t="str">
        <f aca="false">IFERROR(INDEX(差異明細!$B:$B,MATCH(3,差異明細!$M:$M,0)),"")</f>
        <v/>
      </c>
      <c r="B33" s="29" t="str">
        <f aca="false">IFERROR(INDEX(差異明細!$A:$A,MATCH(3,差異明細!$M:$M,0))&amp;"","")</f>
        <v/>
      </c>
      <c r="C33" s="29" t="str">
        <f aca="false">IFERROR(INDEX(差異明細!$D:$D,MATCH(3,差異明細!$M:$M,0)),"")</f>
        <v/>
      </c>
      <c r="D33" s="33" t="str">
        <f aca="false">IFERROR(INDEX(差異明細!$G:$G,MATCH(3,差異明細!$M:$M,0)),"")</f>
        <v/>
      </c>
      <c r="E33" s="34" t="str">
        <f aca="false">IFERROR(INDEX(差異明細!$K:$K,MATCH(3,差異明細!$M:$M,0)),"")</f>
        <v/>
      </c>
      <c r="F33" s="29" t="str">
        <f aca="false">IFERROR(IF(INDEX(差異明細!$N:$N,MATCH(3,差異明細!$M:$M,0))="","（待填）",INDEX(差異明細!$N:$N,MATCH(3,差異明細!$M:$M,0))),"")</f>
        <v/>
      </c>
      <c r="G33" s="35" t="str">
        <f aca="false">IFERROR(INDEX(差異明細!$O:$O,MATCH(3,差異明細!$M:$M,0))&amp;"","")</f>
        <v/>
      </c>
      <c r="H33" s="35"/>
      <c r="I33" s="35"/>
      <c r="J33" s="35"/>
      <c r="K33" s="35"/>
      <c r="L33" s="35"/>
    </row>
    <row r="34" customFormat="false" ht="15" hidden="false" customHeight="false" outlineLevel="0" collapsed="false">
      <c r="A34" s="29" t="str">
        <f aca="false">IFERROR(INDEX(差異明細!$B:$B,MATCH(4,差異明細!$M:$M,0)),"")</f>
        <v/>
      </c>
      <c r="B34" s="29" t="str">
        <f aca="false">IFERROR(INDEX(差異明細!$A:$A,MATCH(4,差異明細!$M:$M,0))&amp;"","")</f>
        <v/>
      </c>
      <c r="C34" s="29" t="str">
        <f aca="false">IFERROR(INDEX(差異明細!$D:$D,MATCH(4,差異明細!$M:$M,0)),"")</f>
        <v/>
      </c>
      <c r="D34" s="33" t="str">
        <f aca="false">IFERROR(INDEX(差異明細!$G:$G,MATCH(4,差異明細!$M:$M,0)),"")</f>
        <v/>
      </c>
      <c r="E34" s="34" t="str">
        <f aca="false">IFERROR(INDEX(差異明細!$K:$K,MATCH(4,差異明細!$M:$M,0)),"")</f>
        <v/>
      </c>
      <c r="F34" s="29" t="str">
        <f aca="false">IFERROR(IF(INDEX(差異明細!$N:$N,MATCH(4,差異明細!$M:$M,0))="","（待填）",INDEX(差異明細!$N:$N,MATCH(4,差異明細!$M:$M,0))),"")</f>
        <v/>
      </c>
      <c r="G34" s="35" t="str">
        <f aca="false">IFERROR(INDEX(差異明細!$O:$O,MATCH(4,差異明細!$M:$M,0))&amp;"","")</f>
        <v/>
      </c>
      <c r="H34" s="35"/>
      <c r="I34" s="35"/>
      <c r="J34" s="35"/>
      <c r="K34" s="35"/>
      <c r="L34" s="35"/>
    </row>
    <row r="35" customFormat="false" ht="15" hidden="false" customHeight="false" outlineLevel="0" collapsed="false">
      <c r="A35" s="29" t="str">
        <f aca="false">IFERROR(INDEX(差異明細!$B:$B,MATCH(5,差異明細!$M:$M,0)),"")</f>
        <v/>
      </c>
      <c r="B35" s="29" t="str">
        <f aca="false">IFERROR(INDEX(差異明細!$A:$A,MATCH(5,差異明細!$M:$M,0))&amp;"","")</f>
        <v/>
      </c>
      <c r="C35" s="29" t="str">
        <f aca="false">IFERROR(INDEX(差異明細!$D:$D,MATCH(5,差異明細!$M:$M,0)),"")</f>
        <v/>
      </c>
      <c r="D35" s="33" t="str">
        <f aca="false">IFERROR(INDEX(差異明細!$G:$G,MATCH(5,差異明細!$M:$M,0)),"")</f>
        <v/>
      </c>
      <c r="E35" s="34" t="str">
        <f aca="false">IFERROR(INDEX(差異明細!$K:$K,MATCH(5,差異明細!$M:$M,0)),"")</f>
        <v/>
      </c>
      <c r="F35" s="29" t="str">
        <f aca="false">IFERROR(IF(INDEX(差異明細!$N:$N,MATCH(5,差異明細!$M:$M,0))="","（待填）",INDEX(差異明細!$N:$N,MATCH(5,差異明細!$M:$M,0))),"")</f>
        <v/>
      </c>
      <c r="G35" s="35" t="str">
        <f aca="false">IFERROR(INDEX(差異明細!$O:$O,MATCH(5,差異明細!$M:$M,0))&amp;"","")</f>
        <v/>
      </c>
      <c r="H35" s="35"/>
      <c r="I35" s="35"/>
      <c r="J35" s="35"/>
      <c r="K35" s="35"/>
      <c r="L35" s="35"/>
    </row>
    <row r="36" customFormat="false" ht="15" hidden="false" customHeight="false" outlineLevel="0" collapsed="false">
      <c r="A36" s="29" t="str">
        <f aca="false">IFERROR(INDEX(差異明細!$B:$B,MATCH(6,差異明細!$M:$M,0)),"")</f>
        <v/>
      </c>
      <c r="B36" s="29" t="str">
        <f aca="false">IFERROR(INDEX(差異明細!$A:$A,MATCH(6,差異明細!$M:$M,0))&amp;"","")</f>
        <v/>
      </c>
      <c r="C36" s="29" t="str">
        <f aca="false">IFERROR(INDEX(差異明細!$D:$D,MATCH(6,差異明細!$M:$M,0)),"")</f>
        <v/>
      </c>
      <c r="D36" s="33" t="str">
        <f aca="false">IFERROR(INDEX(差異明細!$G:$G,MATCH(6,差異明細!$M:$M,0)),"")</f>
        <v/>
      </c>
      <c r="E36" s="34" t="str">
        <f aca="false">IFERROR(INDEX(差異明細!$K:$K,MATCH(6,差異明細!$M:$M,0)),"")</f>
        <v/>
      </c>
      <c r="F36" s="29" t="str">
        <f aca="false">IFERROR(IF(INDEX(差異明細!$N:$N,MATCH(6,差異明細!$M:$M,0))="","（待填）",INDEX(差異明細!$N:$N,MATCH(6,差異明細!$M:$M,0))),"")</f>
        <v/>
      </c>
      <c r="G36" s="35" t="str">
        <f aca="false">IFERROR(INDEX(差異明細!$O:$O,MATCH(6,差異明細!$M:$M,0))&amp;"","")</f>
        <v/>
      </c>
      <c r="H36" s="35"/>
      <c r="I36" s="35"/>
      <c r="J36" s="35"/>
      <c r="K36" s="35"/>
      <c r="L36" s="35"/>
    </row>
    <row r="37" customFormat="false" ht="15" hidden="false" customHeight="false" outlineLevel="0" collapsed="false">
      <c r="A37" s="29" t="str">
        <f aca="false">IFERROR(INDEX(差異明細!$B:$B,MATCH(7,差異明細!$M:$M,0)),"")</f>
        <v/>
      </c>
      <c r="B37" s="29" t="str">
        <f aca="false">IFERROR(INDEX(差異明細!$A:$A,MATCH(7,差異明細!$M:$M,0))&amp;"","")</f>
        <v/>
      </c>
      <c r="C37" s="29" t="str">
        <f aca="false">IFERROR(INDEX(差異明細!$D:$D,MATCH(7,差異明細!$M:$M,0)),"")</f>
        <v/>
      </c>
      <c r="D37" s="33" t="str">
        <f aca="false">IFERROR(INDEX(差異明細!$G:$G,MATCH(7,差異明細!$M:$M,0)),"")</f>
        <v/>
      </c>
      <c r="E37" s="34" t="str">
        <f aca="false">IFERROR(INDEX(差異明細!$K:$K,MATCH(7,差異明細!$M:$M,0)),"")</f>
        <v/>
      </c>
      <c r="F37" s="29" t="str">
        <f aca="false">IFERROR(IF(INDEX(差異明細!$N:$N,MATCH(7,差異明細!$M:$M,0))="","（待填）",INDEX(差異明細!$N:$N,MATCH(7,差異明細!$M:$M,0))),"")</f>
        <v/>
      </c>
      <c r="G37" s="35" t="str">
        <f aca="false">IFERROR(INDEX(差異明細!$O:$O,MATCH(7,差異明細!$M:$M,0))&amp;"","")</f>
        <v/>
      </c>
      <c r="H37" s="35"/>
      <c r="I37" s="35"/>
      <c r="J37" s="35"/>
      <c r="K37" s="35"/>
      <c r="L37" s="35"/>
    </row>
    <row r="38" customFormat="false" ht="15" hidden="false" customHeight="false" outlineLevel="0" collapsed="false">
      <c r="A38" s="29" t="str">
        <f aca="false">IFERROR(INDEX(差異明細!$B:$B,MATCH(8,差異明細!$M:$M,0)),"")</f>
        <v/>
      </c>
      <c r="B38" s="29" t="str">
        <f aca="false">IFERROR(INDEX(差異明細!$A:$A,MATCH(8,差異明細!$M:$M,0))&amp;"","")</f>
        <v/>
      </c>
      <c r="C38" s="29" t="str">
        <f aca="false">IFERROR(INDEX(差異明細!$D:$D,MATCH(8,差異明細!$M:$M,0)),"")</f>
        <v/>
      </c>
      <c r="D38" s="33" t="str">
        <f aca="false">IFERROR(INDEX(差異明細!$G:$G,MATCH(8,差異明細!$M:$M,0)),"")</f>
        <v/>
      </c>
      <c r="E38" s="34" t="str">
        <f aca="false">IFERROR(INDEX(差異明細!$K:$K,MATCH(8,差異明細!$M:$M,0)),"")</f>
        <v/>
      </c>
      <c r="F38" s="29" t="str">
        <f aca="false">IFERROR(IF(INDEX(差異明細!$N:$N,MATCH(8,差異明細!$M:$M,0))="","（待填）",INDEX(差異明細!$N:$N,MATCH(8,差異明細!$M:$M,0))),"")</f>
        <v/>
      </c>
      <c r="G38" s="35" t="str">
        <f aca="false">IFERROR(INDEX(差異明細!$O:$O,MATCH(8,差異明細!$M:$M,0))&amp;"","")</f>
        <v/>
      </c>
      <c r="H38" s="35"/>
      <c r="I38" s="35"/>
      <c r="J38" s="35"/>
      <c r="K38" s="35"/>
      <c r="L38" s="35"/>
    </row>
    <row r="39" customFormat="false" ht="15" hidden="false" customHeight="false" outlineLevel="0" collapsed="false">
      <c r="A39" s="29" t="str">
        <f aca="false">IFERROR(INDEX(差異明細!$B:$B,MATCH(9,差異明細!$M:$M,0)),"")</f>
        <v/>
      </c>
      <c r="B39" s="29" t="str">
        <f aca="false">IFERROR(INDEX(差異明細!$A:$A,MATCH(9,差異明細!$M:$M,0))&amp;"","")</f>
        <v/>
      </c>
      <c r="C39" s="29" t="str">
        <f aca="false">IFERROR(INDEX(差異明細!$D:$D,MATCH(9,差異明細!$M:$M,0)),"")</f>
        <v/>
      </c>
      <c r="D39" s="33" t="str">
        <f aca="false">IFERROR(INDEX(差異明細!$G:$G,MATCH(9,差異明細!$M:$M,0)),"")</f>
        <v/>
      </c>
      <c r="E39" s="34" t="str">
        <f aca="false">IFERROR(INDEX(差異明細!$K:$K,MATCH(9,差異明細!$M:$M,0)),"")</f>
        <v/>
      </c>
      <c r="F39" s="29" t="str">
        <f aca="false">IFERROR(IF(INDEX(差異明細!$N:$N,MATCH(9,差異明細!$M:$M,0))="","（待填）",INDEX(差異明細!$N:$N,MATCH(9,差異明細!$M:$M,0))),"")</f>
        <v/>
      </c>
      <c r="G39" s="35" t="str">
        <f aca="false">IFERROR(INDEX(差異明細!$O:$O,MATCH(9,差異明細!$M:$M,0))&amp;"","")</f>
        <v/>
      </c>
      <c r="H39" s="35"/>
      <c r="I39" s="35"/>
      <c r="J39" s="35"/>
      <c r="K39" s="35"/>
      <c r="L39" s="35"/>
    </row>
    <row r="40" customFormat="false" ht="15" hidden="false" customHeight="false" outlineLevel="0" collapsed="false">
      <c r="A40" s="29" t="str">
        <f aca="false">IFERROR(INDEX(差異明細!$B:$B,MATCH(10,差異明細!$M:$M,0)),"")</f>
        <v/>
      </c>
      <c r="B40" s="29" t="str">
        <f aca="false">IFERROR(INDEX(差異明細!$A:$A,MATCH(10,差異明細!$M:$M,0))&amp;"","")</f>
        <v/>
      </c>
      <c r="C40" s="29" t="str">
        <f aca="false">IFERROR(INDEX(差異明細!$D:$D,MATCH(10,差異明細!$M:$M,0)),"")</f>
        <v/>
      </c>
      <c r="D40" s="33" t="str">
        <f aca="false">IFERROR(INDEX(差異明細!$G:$G,MATCH(10,差異明細!$M:$M,0)),"")</f>
        <v/>
      </c>
      <c r="E40" s="34" t="str">
        <f aca="false">IFERROR(INDEX(差異明細!$K:$K,MATCH(10,差異明細!$M:$M,0)),"")</f>
        <v/>
      </c>
      <c r="F40" s="29" t="str">
        <f aca="false">IFERROR(IF(INDEX(差異明細!$N:$N,MATCH(10,差異明細!$M:$M,0))="","（待填）",INDEX(差異明細!$N:$N,MATCH(10,差異明細!$M:$M,0))),"")</f>
        <v/>
      </c>
      <c r="G40" s="35" t="str">
        <f aca="false">IFERROR(INDEX(差異明細!$O:$O,MATCH(10,差異明細!$M:$M,0))&amp;"","")</f>
        <v/>
      </c>
      <c r="H40" s="35"/>
      <c r="I40" s="35"/>
      <c r="J40" s="35"/>
      <c r="K40" s="35"/>
      <c r="L40" s="35"/>
    </row>
    <row r="41" customFormat="false" ht="15" hidden="false" customHeight="false" outlineLevel="0" collapsed="false">
      <c r="A41" s="29" t="str">
        <f aca="false">IFERROR(INDEX(差異明細!$B:$B,MATCH(11,差異明細!$M:$M,0)),"")</f>
        <v/>
      </c>
      <c r="B41" s="29" t="str">
        <f aca="false">IFERROR(INDEX(差異明細!$A:$A,MATCH(11,差異明細!$M:$M,0))&amp;"","")</f>
        <v/>
      </c>
      <c r="C41" s="29" t="str">
        <f aca="false">IFERROR(INDEX(差異明細!$D:$D,MATCH(11,差異明細!$M:$M,0)),"")</f>
        <v/>
      </c>
      <c r="D41" s="33" t="str">
        <f aca="false">IFERROR(INDEX(差異明細!$G:$G,MATCH(11,差異明細!$M:$M,0)),"")</f>
        <v/>
      </c>
      <c r="E41" s="34" t="str">
        <f aca="false">IFERROR(INDEX(差異明細!$K:$K,MATCH(11,差異明細!$M:$M,0)),"")</f>
        <v/>
      </c>
      <c r="F41" s="29" t="str">
        <f aca="false">IFERROR(IF(INDEX(差異明細!$N:$N,MATCH(11,差異明細!$M:$M,0))="","（待填）",INDEX(差異明細!$N:$N,MATCH(11,差異明細!$M:$M,0))),"")</f>
        <v/>
      </c>
      <c r="G41" s="35" t="str">
        <f aca="false">IFERROR(INDEX(差異明細!$O:$O,MATCH(11,差異明細!$M:$M,0))&amp;"","")</f>
        <v/>
      </c>
      <c r="H41" s="35"/>
      <c r="I41" s="35"/>
      <c r="J41" s="35"/>
      <c r="K41" s="35"/>
      <c r="L41" s="35"/>
    </row>
    <row r="42" customFormat="false" ht="15" hidden="false" customHeight="false" outlineLevel="0" collapsed="false">
      <c r="A42" s="29" t="str">
        <f aca="false">IFERROR(INDEX(差異明細!$B:$B,MATCH(12,差異明細!$M:$M,0)),"")</f>
        <v/>
      </c>
      <c r="B42" s="29" t="str">
        <f aca="false">IFERROR(INDEX(差異明細!$A:$A,MATCH(12,差異明細!$M:$M,0))&amp;"","")</f>
        <v/>
      </c>
      <c r="C42" s="29" t="str">
        <f aca="false">IFERROR(INDEX(差異明細!$D:$D,MATCH(12,差異明細!$M:$M,0)),"")</f>
        <v/>
      </c>
      <c r="D42" s="33" t="str">
        <f aca="false">IFERROR(INDEX(差異明細!$G:$G,MATCH(12,差異明細!$M:$M,0)),"")</f>
        <v/>
      </c>
      <c r="E42" s="34" t="str">
        <f aca="false">IFERROR(INDEX(差異明細!$K:$K,MATCH(12,差異明細!$M:$M,0)),"")</f>
        <v/>
      </c>
      <c r="F42" s="29" t="str">
        <f aca="false">IFERROR(IF(INDEX(差異明細!$N:$N,MATCH(12,差異明細!$M:$M,0))="","（待填）",INDEX(差異明細!$N:$N,MATCH(12,差異明細!$M:$M,0))),"")</f>
        <v/>
      </c>
      <c r="G42" s="35" t="str">
        <f aca="false">IFERROR(INDEX(差異明細!$O:$O,MATCH(12,差異明細!$M:$M,0))&amp;"","")</f>
        <v/>
      </c>
      <c r="H42" s="35"/>
      <c r="I42" s="35"/>
      <c r="J42" s="35"/>
      <c r="K42" s="35"/>
      <c r="L42" s="35"/>
    </row>
    <row r="43" customFormat="false" ht="15" hidden="false" customHeight="false" outlineLevel="0" collapsed="false">
      <c r="A43" s="29" t="str">
        <f aca="false">IFERROR(INDEX(差異明細!$B:$B,MATCH(13,差異明細!$M:$M,0)),"")</f>
        <v/>
      </c>
      <c r="B43" s="29" t="str">
        <f aca="false">IFERROR(INDEX(差異明細!$A:$A,MATCH(13,差異明細!$M:$M,0))&amp;"","")</f>
        <v/>
      </c>
      <c r="C43" s="29" t="str">
        <f aca="false">IFERROR(INDEX(差異明細!$D:$D,MATCH(13,差異明細!$M:$M,0)),"")</f>
        <v/>
      </c>
      <c r="D43" s="33" t="str">
        <f aca="false">IFERROR(INDEX(差異明細!$G:$G,MATCH(13,差異明細!$M:$M,0)),"")</f>
        <v/>
      </c>
      <c r="E43" s="34" t="str">
        <f aca="false">IFERROR(INDEX(差異明細!$K:$K,MATCH(13,差異明細!$M:$M,0)),"")</f>
        <v/>
      </c>
      <c r="F43" s="29" t="str">
        <f aca="false">IFERROR(IF(INDEX(差異明細!$N:$N,MATCH(13,差異明細!$M:$M,0))="","（待填）",INDEX(差異明細!$N:$N,MATCH(13,差異明細!$M:$M,0))),"")</f>
        <v/>
      </c>
      <c r="G43" s="35" t="str">
        <f aca="false">IFERROR(INDEX(差異明細!$O:$O,MATCH(13,差異明細!$M:$M,0))&amp;"","")</f>
        <v/>
      </c>
      <c r="H43" s="35"/>
      <c r="I43" s="35"/>
      <c r="J43" s="35"/>
      <c r="K43" s="35"/>
      <c r="L43" s="35"/>
    </row>
    <row r="44" customFormat="false" ht="15" hidden="false" customHeight="false" outlineLevel="0" collapsed="false">
      <c r="A44" s="29" t="str">
        <f aca="false">IFERROR(INDEX(差異明細!$B:$B,MATCH(14,差異明細!$M:$M,0)),"")</f>
        <v/>
      </c>
      <c r="B44" s="29" t="str">
        <f aca="false">IFERROR(INDEX(差異明細!$A:$A,MATCH(14,差異明細!$M:$M,0))&amp;"","")</f>
        <v/>
      </c>
      <c r="C44" s="29" t="str">
        <f aca="false">IFERROR(INDEX(差異明細!$D:$D,MATCH(14,差異明細!$M:$M,0)),"")</f>
        <v/>
      </c>
      <c r="D44" s="33" t="str">
        <f aca="false">IFERROR(INDEX(差異明細!$G:$G,MATCH(14,差異明細!$M:$M,0)),"")</f>
        <v/>
      </c>
      <c r="E44" s="34" t="str">
        <f aca="false">IFERROR(INDEX(差異明細!$K:$K,MATCH(14,差異明細!$M:$M,0)),"")</f>
        <v/>
      </c>
      <c r="F44" s="29" t="str">
        <f aca="false">IFERROR(IF(INDEX(差異明細!$N:$N,MATCH(14,差異明細!$M:$M,0))="","（待填）",INDEX(差異明細!$N:$N,MATCH(14,差異明細!$M:$M,0))),"")</f>
        <v/>
      </c>
      <c r="G44" s="35" t="str">
        <f aca="false">IFERROR(INDEX(差異明細!$O:$O,MATCH(14,差異明細!$M:$M,0))&amp;"","")</f>
        <v/>
      </c>
      <c r="H44" s="35"/>
      <c r="I44" s="35"/>
      <c r="J44" s="35"/>
      <c r="K44" s="35"/>
      <c r="L44" s="35"/>
    </row>
    <row r="45" customFormat="false" ht="15" hidden="false" customHeight="false" outlineLevel="0" collapsed="false">
      <c r="A45" s="29" t="str">
        <f aca="false">IFERROR(INDEX(差異明細!$B:$B,MATCH(15,差異明細!$M:$M,0)),"")</f>
        <v/>
      </c>
      <c r="B45" s="29" t="str">
        <f aca="false">IFERROR(INDEX(差異明細!$A:$A,MATCH(15,差異明細!$M:$M,0))&amp;"","")</f>
        <v/>
      </c>
      <c r="C45" s="29" t="str">
        <f aca="false">IFERROR(INDEX(差異明細!$D:$D,MATCH(15,差異明細!$M:$M,0)),"")</f>
        <v/>
      </c>
      <c r="D45" s="33" t="str">
        <f aca="false">IFERROR(INDEX(差異明細!$G:$G,MATCH(15,差異明細!$M:$M,0)),"")</f>
        <v/>
      </c>
      <c r="E45" s="34" t="str">
        <f aca="false">IFERROR(INDEX(差異明細!$K:$K,MATCH(15,差異明細!$M:$M,0)),"")</f>
        <v/>
      </c>
      <c r="F45" s="29" t="str">
        <f aca="false">IFERROR(IF(INDEX(差異明細!$N:$N,MATCH(15,差異明細!$M:$M,0))="","（待填）",INDEX(差異明細!$N:$N,MATCH(15,差異明細!$M:$M,0))),"")</f>
        <v/>
      </c>
      <c r="G45" s="35" t="str">
        <f aca="false">IFERROR(INDEX(差異明細!$O:$O,MATCH(15,差異明細!$M:$M,0))&amp;"","")</f>
        <v/>
      </c>
      <c r="H45" s="35"/>
      <c r="I45" s="35"/>
      <c r="J45" s="35"/>
      <c r="K45" s="35"/>
      <c r="L45" s="35"/>
    </row>
    <row r="46" customFormat="false" ht="15" hidden="false" customHeight="false" outlineLevel="0" collapsed="false">
      <c r="A46" s="29" t="str">
        <f aca="false">IFERROR(INDEX(差異明細!$B:$B,MATCH(16,差異明細!$M:$M,0)),"")</f>
        <v/>
      </c>
      <c r="B46" s="29" t="str">
        <f aca="false">IFERROR(INDEX(差異明細!$A:$A,MATCH(16,差異明細!$M:$M,0))&amp;"","")</f>
        <v/>
      </c>
      <c r="C46" s="29" t="str">
        <f aca="false">IFERROR(INDEX(差異明細!$D:$D,MATCH(16,差異明細!$M:$M,0)),"")</f>
        <v/>
      </c>
      <c r="D46" s="33" t="str">
        <f aca="false">IFERROR(INDEX(差異明細!$G:$G,MATCH(16,差異明細!$M:$M,0)),"")</f>
        <v/>
      </c>
      <c r="E46" s="34" t="str">
        <f aca="false">IFERROR(INDEX(差異明細!$K:$K,MATCH(16,差異明細!$M:$M,0)),"")</f>
        <v/>
      </c>
      <c r="F46" s="29" t="str">
        <f aca="false">IFERROR(IF(INDEX(差異明細!$N:$N,MATCH(16,差異明細!$M:$M,0))="","（待填）",INDEX(差異明細!$N:$N,MATCH(16,差異明細!$M:$M,0))),"")</f>
        <v/>
      </c>
      <c r="G46" s="35" t="str">
        <f aca="false">IFERROR(INDEX(差異明細!$O:$O,MATCH(16,差異明細!$M:$M,0))&amp;"","")</f>
        <v/>
      </c>
      <c r="H46" s="35"/>
      <c r="I46" s="35"/>
      <c r="J46" s="35"/>
      <c r="K46" s="35"/>
      <c r="L46" s="35"/>
    </row>
    <row r="47" customFormat="false" ht="15" hidden="false" customHeight="false" outlineLevel="0" collapsed="false">
      <c r="A47" s="29" t="str">
        <f aca="false">IFERROR(INDEX(差異明細!$B:$B,MATCH(17,差異明細!$M:$M,0)),"")</f>
        <v/>
      </c>
      <c r="B47" s="29" t="str">
        <f aca="false">IFERROR(INDEX(差異明細!$A:$A,MATCH(17,差異明細!$M:$M,0))&amp;"","")</f>
        <v/>
      </c>
      <c r="C47" s="29" t="str">
        <f aca="false">IFERROR(INDEX(差異明細!$D:$D,MATCH(17,差異明細!$M:$M,0)),"")</f>
        <v/>
      </c>
      <c r="D47" s="33" t="str">
        <f aca="false">IFERROR(INDEX(差異明細!$G:$G,MATCH(17,差異明細!$M:$M,0)),"")</f>
        <v/>
      </c>
      <c r="E47" s="34" t="str">
        <f aca="false">IFERROR(INDEX(差異明細!$K:$K,MATCH(17,差異明細!$M:$M,0)),"")</f>
        <v/>
      </c>
      <c r="F47" s="29" t="str">
        <f aca="false">IFERROR(IF(INDEX(差異明細!$N:$N,MATCH(17,差異明細!$M:$M,0))="","（待填）",INDEX(差異明細!$N:$N,MATCH(17,差異明細!$M:$M,0))),"")</f>
        <v/>
      </c>
      <c r="G47" s="35" t="str">
        <f aca="false">IFERROR(INDEX(差異明細!$O:$O,MATCH(17,差異明細!$M:$M,0))&amp;"","")</f>
        <v/>
      </c>
      <c r="H47" s="35"/>
      <c r="I47" s="35"/>
      <c r="J47" s="35"/>
      <c r="K47" s="35"/>
      <c r="L47" s="35"/>
    </row>
    <row r="48" customFormat="false" ht="15" hidden="false" customHeight="false" outlineLevel="0" collapsed="false">
      <c r="A48" s="29" t="str">
        <f aca="false">IFERROR(INDEX(差異明細!$B:$B,MATCH(18,差異明細!$M:$M,0)),"")</f>
        <v/>
      </c>
      <c r="B48" s="29" t="str">
        <f aca="false">IFERROR(INDEX(差異明細!$A:$A,MATCH(18,差異明細!$M:$M,0))&amp;"","")</f>
        <v/>
      </c>
      <c r="C48" s="29" t="str">
        <f aca="false">IFERROR(INDEX(差異明細!$D:$D,MATCH(18,差異明細!$M:$M,0)),"")</f>
        <v/>
      </c>
      <c r="D48" s="33" t="str">
        <f aca="false">IFERROR(INDEX(差異明細!$G:$G,MATCH(18,差異明細!$M:$M,0)),"")</f>
        <v/>
      </c>
      <c r="E48" s="34" t="str">
        <f aca="false">IFERROR(INDEX(差異明細!$K:$K,MATCH(18,差異明細!$M:$M,0)),"")</f>
        <v/>
      </c>
      <c r="F48" s="29" t="str">
        <f aca="false">IFERROR(IF(INDEX(差異明細!$N:$N,MATCH(18,差異明細!$M:$M,0))="","（待填）",INDEX(差異明細!$N:$N,MATCH(18,差異明細!$M:$M,0))),"")</f>
        <v/>
      </c>
      <c r="G48" s="35" t="str">
        <f aca="false">IFERROR(INDEX(差異明細!$O:$O,MATCH(18,差異明細!$M:$M,0))&amp;"","")</f>
        <v/>
      </c>
      <c r="H48" s="35"/>
      <c r="I48" s="35"/>
      <c r="J48" s="35"/>
      <c r="K48" s="35"/>
      <c r="L48" s="35"/>
    </row>
    <row r="49" customFormat="false" ht="15" hidden="false" customHeight="false" outlineLevel="0" collapsed="false">
      <c r="A49" s="29" t="str">
        <f aca="false">IFERROR(INDEX(差異明細!$B:$B,MATCH(19,差異明細!$M:$M,0)),"")</f>
        <v/>
      </c>
      <c r="B49" s="29" t="str">
        <f aca="false">IFERROR(INDEX(差異明細!$A:$A,MATCH(19,差異明細!$M:$M,0))&amp;"","")</f>
        <v/>
      </c>
      <c r="C49" s="29" t="str">
        <f aca="false">IFERROR(INDEX(差異明細!$D:$D,MATCH(19,差異明細!$M:$M,0)),"")</f>
        <v/>
      </c>
      <c r="D49" s="33" t="str">
        <f aca="false">IFERROR(INDEX(差異明細!$G:$G,MATCH(19,差異明細!$M:$M,0)),"")</f>
        <v/>
      </c>
      <c r="E49" s="34" t="str">
        <f aca="false">IFERROR(INDEX(差異明細!$K:$K,MATCH(19,差異明細!$M:$M,0)),"")</f>
        <v/>
      </c>
      <c r="F49" s="29" t="str">
        <f aca="false">IFERROR(IF(INDEX(差異明細!$N:$N,MATCH(19,差異明細!$M:$M,0))="","（待填）",INDEX(差異明細!$N:$N,MATCH(19,差異明細!$M:$M,0))),"")</f>
        <v/>
      </c>
      <c r="G49" s="35" t="str">
        <f aca="false">IFERROR(INDEX(差異明細!$O:$O,MATCH(19,差異明細!$M:$M,0))&amp;"","")</f>
        <v/>
      </c>
      <c r="H49" s="35"/>
      <c r="I49" s="35"/>
      <c r="J49" s="35"/>
      <c r="K49" s="35"/>
      <c r="L49" s="35"/>
    </row>
    <row r="50" customFormat="false" ht="15" hidden="false" customHeight="false" outlineLevel="0" collapsed="false">
      <c r="A50" s="29" t="str">
        <f aca="false">IFERROR(INDEX(差異明細!$B:$B,MATCH(20,差異明細!$M:$M,0)),"")</f>
        <v/>
      </c>
      <c r="B50" s="29" t="str">
        <f aca="false">IFERROR(INDEX(差異明細!$A:$A,MATCH(20,差異明細!$M:$M,0))&amp;"","")</f>
        <v/>
      </c>
      <c r="C50" s="29" t="str">
        <f aca="false">IFERROR(INDEX(差異明細!$D:$D,MATCH(20,差異明細!$M:$M,0)),"")</f>
        <v/>
      </c>
      <c r="D50" s="33" t="str">
        <f aca="false">IFERROR(INDEX(差異明細!$G:$G,MATCH(20,差異明細!$M:$M,0)),"")</f>
        <v/>
      </c>
      <c r="E50" s="34" t="str">
        <f aca="false">IFERROR(INDEX(差異明細!$K:$K,MATCH(20,差異明細!$M:$M,0)),"")</f>
        <v/>
      </c>
      <c r="F50" s="29" t="str">
        <f aca="false">IFERROR(IF(INDEX(差異明細!$N:$N,MATCH(20,差異明細!$M:$M,0))="","（待填）",INDEX(差異明細!$N:$N,MATCH(20,差異明細!$M:$M,0))),"")</f>
        <v/>
      </c>
      <c r="G50" s="35" t="str">
        <f aca="false">IFERROR(INDEX(差異明細!$O:$O,MATCH(20,差異明細!$M:$M,0))&amp;"","")</f>
        <v/>
      </c>
      <c r="H50" s="35"/>
      <c r="I50" s="35"/>
      <c r="J50" s="35"/>
      <c r="K50" s="35"/>
      <c r="L50" s="35"/>
    </row>
    <row r="51" customFormat="false" ht="15" hidden="false" customHeight="false" outlineLevel="0" collapsed="false">
      <c r="A51" s="18" t="str">
        <f aca="false">IF(COUNTIF(差異明細!$L:$L,"需說明")&gt;20,"另有 "&amp;(COUNTIF(差異明細!$L:$L,"需說明")-20)&amp;" 項請見「差異明細」頁",IF(COUNTIF(差異明細!$L:$L,"需說明")=0,"本期無超過門檻的差異。",""))</f>
        <v/>
      </c>
    </row>
    <row r="52" customFormat="false" ht="15" hidden="false" customHeight="false" outlineLevel="0" collapsed="false">
      <c r="A52" s="36" t="s">
        <v>71</v>
      </c>
    </row>
  </sheetData>
  <mergeCells count="21">
    <mergeCell ref="G30:L30"/>
    <mergeCell ref="G31:L31"/>
    <mergeCell ref="G32:L32"/>
    <mergeCell ref="G33:L33"/>
    <mergeCell ref="G34:L34"/>
    <mergeCell ref="G35:L35"/>
    <mergeCell ref="G36:L36"/>
    <mergeCell ref="G37:L37"/>
    <mergeCell ref="G38:L38"/>
    <mergeCell ref="G39:L39"/>
    <mergeCell ref="G40:L40"/>
    <mergeCell ref="G41:L41"/>
    <mergeCell ref="G42:L42"/>
    <mergeCell ref="G43:L43"/>
    <mergeCell ref="G44:L44"/>
    <mergeCell ref="G45:L45"/>
    <mergeCell ref="G46:L46"/>
    <mergeCell ref="G47:L47"/>
    <mergeCell ref="G48:L48"/>
    <mergeCell ref="G49:L49"/>
    <mergeCell ref="G50:L50"/>
  </mergeCells>
  <conditionalFormatting sqref="F31:F50">
    <cfRule type="expression" priority="2" aboveAverage="0" equalAverage="0" bottom="0" percent="0" rank="0" text="" dxfId="0">
      <formula>$F31="（待填）"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true" outlineLevel="0" max="3" min="3" style="0" width="10"/>
    <col collapsed="false" customWidth="true" hidden="false" outlineLevel="0" max="4" min="4" style="0" width="8"/>
    <col collapsed="false" customWidth="true" hidden="false" outlineLevel="0" max="7" min="5" style="0" width="12"/>
    <col collapsed="false" customWidth="true" hidden="false" outlineLevel="0" max="8" min="8" style="0" width="9"/>
    <col collapsed="false" customWidth="true" hidden="false" outlineLevel="0" max="11" min="9" style="0" width="10"/>
    <col collapsed="false" customWidth="true" hidden="false" outlineLevel="0" max="12" min="12" style="0" width="9"/>
    <col collapsed="false" customWidth="true" hidden="false" outlineLevel="0" max="13" min="13" style="0" width="6"/>
    <col collapsed="false" customWidth="true" hidden="false" outlineLevel="0" max="14" min="14" style="0" width="16"/>
    <col collapsed="false" customWidth="true" hidden="false" outlineLevel="0" max="15" min="15" style="0" width="50"/>
    <col collapsed="false" customWidth="true" hidden="false" outlineLevel="0" max="16" min="16" style="0" width="10"/>
  </cols>
  <sheetData>
    <row r="1" customFormat="false" ht="17.35" hidden="false" customHeight="false" outlineLevel="0" collapsed="false">
      <c r="A1" s="37" t="s">
        <v>72</v>
      </c>
    </row>
    <row r="2" customFormat="false" ht="15" hidden="false" customHeight="false" outlineLevel="0" collapsed="false">
      <c r="A2" s="2" t="str">
        <f aca="false">"本週 "&amp;TEXT(說明!$C$5,"yyyy/mm/dd")&amp;"  vs  前期 "&amp;TEXT(說明!$C$6,"yyyy/mm/dd")&amp;"　｜　門檻：標打 ±"&amp;TEXT(說明!$C$7,"#,##0")&amp;"、NCMT ±"&amp;TEXT(說明!$C$8,"0.00")</f>
        <v>本週 2026/10/07  vs  前期 2026/09/23　｜　門檻：標打 ±3,000、NCMT ±0.30</v>
      </c>
    </row>
    <row r="4" customFormat="false" ht="27.6" hidden="false" customHeight="false" outlineLevel="0" collapsed="false">
      <c r="A4" s="15" t="s">
        <v>43</v>
      </c>
      <c r="B4" s="24" t="s">
        <v>30</v>
      </c>
      <c r="C4" s="15" t="s">
        <v>73</v>
      </c>
      <c r="D4" s="15" t="s">
        <v>32</v>
      </c>
      <c r="E4" s="15" t="s">
        <v>44</v>
      </c>
      <c r="F4" s="15" t="s">
        <v>45</v>
      </c>
      <c r="G4" s="15" t="s">
        <v>34</v>
      </c>
      <c r="H4" s="15" t="s">
        <v>46</v>
      </c>
      <c r="I4" s="15" t="s">
        <v>47</v>
      </c>
      <c r="J4" s="15" t="s">
        <v>48</v>
      </c>
      <c r="K4" s="15" t="s">
        <v>49</v>
      </c>
      <c r="L4" s="15" t="s">
        <v>74</v>
      </c>
      <c r="M4" s="15" t="s">
        <v>75</v>
      </c>
      <c r="N4" s="15" t="s">
        <v>36</v>
      </c>
      <c r="O4" s="15" t="s">
        <v>38</v>
      </c>
      <c r="P4" s="15" t="s">
        <v>76</v>
      </c>
    </row>
    <row r="5" customFormat="false" ht="15" hidden="false" customHeight="false" outlineLevel="0" collapsed="false">
      <c r="A5" s="38" t="n">
        <v>2026</v>
      </c>
      <c r="B5" s="39" t="s">
        <v>77</v>
      </c>
      <c r="C5" s="39" t="n">
        <v>2026</v>
      </c>
      <c r="D5" s="25" t="s">
        <v>78</v>
      </c>
      <c r="E5" s="40" t="n">
        <f aca="false">IFERROR(SUMIFS(INDEX(本週_2026!$D$2:$Z$300,0,MATCH($C5,本週_2026!$D$1:$Z$1,0)),本週_2026!$A$2:$A$300,"標打",本週_2026!$B$2:$B$300,"All Iscfm",本週_2026!$C$2:$C$300,$B5),0)</f>
        <v>988688.2</v>
      </c>
      <c r="F5" s="40" t="n">
        <f aca="false">IFERROR(SUMIFS(INDEX(前期_2026!$D$2:$Z$300,0,MATCH($C5,前期_2026!$D$1:$Z$1,0)),前期_2026!$A$2:$A$300,"標打",前期_2026!$B$2:$B$300,"All Iscfm",前期_2026!$C$2:$C$300,$B5),0)</f>
        <v>988688.2</v>
      </c>
      <c r="G5" s="40" t="n">
        <f aca="false">E5-F5</f>
        <v>0</v>
      </c>
      <c r="H5" s="41" t="n">
        <f aca="false">IF(F5=0,"",G5/F5)</f>
        <v>0</v>
      </c>
      <c r="I5" s="42" t="n">
        <f aca="false">IFERROR(SUMIFS(INDEX(本週_2026!$D$2:$Z$300,0,MATCH($C5,本週_2026!$D$1:$Z$1,0)),本週_2026!$A$2:$A$300,"NET_CMT_標打_成改後",本週_2026!$B$2:$B$300,"All Iscfm",本週_2026!$C$2:$C$300,$B5),0)</f>
        <v>19.16</v>
      </c>
      <c r="J5" s="42" t="n">
        <f aca="false">IFERROR(SUMIFS(INDEX(前期_2026!$D$2:$Z$300,0,MATCH($C5,前期_2026!$D$1:$Z$1,0)),前期_2026!$A$2:$A$300,"NET_CMT_標打_成改後",前期_2026!$B$2:$B$300,"All Iscfm",前期_2026!$C$2:$C$300,$B5),0)</f>
        <v>19.16</v>
      </c>
      <c r="K5" s="43" t="n">
        <f aca="false">I5-J5</f>
        <v>0</v>
      </c>
      <c r="L5" s="25" t="str">
        <f aca="false">IF($B5="All Program","",IF(OR(ABS(G5)&gt;=說明!$C$7,ABS(K5)&gt;=說明!$C$8),"需說明",""))</f>
        <v/>
      </c>
      <c r="M5" s="25" t="str">
        <f aca="false">IF(L5="需說明",COUNTIF($L$5:L5,"需說明"),"")</f>
        <v/>
      </c>
      <c r="N5" s="44"/>
      <c r="O5" s="44"/>
      <c r="P5" s="44"/>
    </row>
    <row r="6" customFormat="false" ht="15" hidden="false" customHeight="false" outlineLevel="0" collapsed="false">
      <c r="A6" s="38" t="n">
        <v>2026</v>
      </c>
      <c r="B6" s="39" t="s">
        <v>77</v>
      </c>
      <c r="C6" s="39" t="s">
        <v>53</v>
      </c>
      <c r="D6" s="39" t="s">
        <v>79</v>
      </c>
      <c r="E6" s="40" t="n">
        <f aca="false">IFERROR(SUMIFS(INDEX(本週_2026!$D$2:$Z$300,0,MATCH($C6,本週_2026!$D$1:$Z$1,0)),本週_2026!$A$2:$A$300,"標打",本週_2026!$B$2:$B$300,"All Iscfm",本週_2026!$C$2:$C$300,$B6),0)</f>
        <v>206294.1</v>
      </c>
      <c r="F6" s="40" t="n">
        <f aca="false">IFERROR(SUMIFS(INDEX(前期_2026!$D$2:$Z$300,0,MATCH($C6,前期_2026!$D$1:$Z$1,0)),前期_2026!$A$2:$A$300,"標打",前期_2026!$B$2:$B$300,"All Iscfm",前期_2026!$C$2:$C$300,$B6),0)</f>
        <v>206294.1</v>
      </c>
      <c r="G6" s="40" t="n">
        <f aca="false">E6-F6</f>
        <v>0</v>
      </c>
      <c r="H6" s="41" t="n">
        <f aca="false">IF(F6=0,"",G6/F6)</f>
        <v>0</v>
      </c>
      <c r="I6" s="42" t="n">
        <f aca="false">IFERROR(SUMIFS(INDEX(本週_2026!$D$2:$Z$300,0,MATCH($C6,本週_2026!$D$1:$Z$1,0)),本週_2026!$A$2:$A$300,"NET_CMT_標打_成改後",本週_2026!$B$2:$B$300,"All Iscfm",本週_2026!$C$2:$C$300,$B6),0)</f>
        <v>20.33</v>
      </c>
      <c r="J6" s="42" t="n">
        <f aca="false">IFERROR(SUMIFS(INDEX(前期_2026!$D$2:$Z$300,0,MATCH($C6,前期_2026!$D$1:$Z$1,0)),前期_2026!$A$2:$A$300,"NET_CMT_標打_成改後",前期_2026!$B$2:$B$300,"All Iscfm",前期_2026!$C$2:$C$300,$B6),0)</f>
        <v>20.33</v>
      </c>
      <c r="K6" s="43" t="n">
        <f aca="false">I6-J6</f>
        <v>0</v>
      </c>
      <c r="L6" s="25" t="str">
        <f aca="false">IF($B6="All Program","",IF(OR(ABS(G6)&gt;=說明!$C$7,ABS(K6)&gt;=說明!$C$8),"需說明",""))</f>
        <v/>
      </c>
      <c r="M6" s="25" t="str">
        <f aca="false">IF(L6="需說明",COUNTIF($L$5:L6,"需說明"),"")</f>
        <v/>
      </c>
      <c r="N6" s="44"/>
      <c r="O6" s="44"/>
      <c r="P6" s="44"/>
    </row>
    <row r="7" customFormat="false" ht="15" hidden="false" customHeight="false" outlineLevel="0" collapsed="false">
      <c r="A7" s="38" t="n">
        <v>2026</v>
      </c>
      <c r="B7" s="39" t="s">
        <v>77</v>
      </c>
      <c r="C7" s="39" t="s">
        <v>54</v>
      </c>
      <c r="D7" s="39" t="s">
        <v>80</v>
      </c>
      <c r="E7" s="40" t="n">
        <f aca="false">IFERROR(SUMIFS(INDEX(本週_2026!$D$2:$Z$300,0,MATCH($C7,本週_2026!$D$1:$Z$1,0)),本週_2026!$A$2:$A$300,"標打",本週_2026!$B$2:$B$300,"All Iscfm",本週_2026!$C$2:$C$300,$B7),0)</f>
        <v>243675.4</v>
      </c>
      <c r="F7" s="40" t="n">
        <f aca="false">IFERROR(SUMIFS(INDEX(前期_2026!$D$2:$Z$300,0,MATCH($C7,前期_2026!$D$1:$Z$1,0)),前期_2026!$A$2:$A$300,"標打",前期_2026!$B$2:$B$300,"All Iscfm",前期_2026!$C$2:$C$300,$B7),0)</f>
        <v>243675.4</v>
      </c>
      <c r="G7" s="40" t="n">
        <f aca="false">E7-F7</f>
        <v>0</v>
      </c>
      <c r="H7" s="41" t="n">
        <f aca="false">IF(F7=0,"",G7/F7)</f>
        <v>0</v>
      </c>
      <c r="I7" s="42" t="n">
        <f aca="false">IFERROR(SUMIFS(INDEX(本週_2026!$D$2:$Z$300,0,MATCH($C7,本週_2026!$D$1:$Z$1,0)),本週_2026!$A$2:$A$300,"NET_CMT_標打_成改後",本週_2026!$B$2:$B$300,"All Iscfm",本週_2026!$C$2:$C$300,$B7),0)</f>
        <v>19.57</v>
      </c>
      <c r="J7" s="42" t="n">
        <f aca="false">IFERROR(SUMIFS(INDEX(前期_2026!$D$2:$Z$300,0,MATCH($C7,前期_2026!$D$1:$Z$1,0)),前期_2026!$A$2:$A$300,"NET_CMT_標打_成改後",前期_2026!$B$2:$B$300,"All Iscfm",前期_2026!$C$2:$C$300,$B7),0)</f>
        <v>19.57</v>
      </c>
      <c r="K7" s="43" t="n">
        <f aca="false">I7-J7</f>
        <v>0</v>
      </c>
      <c r="L7" s="25" t="str">
        <f aca="false">IF($B7="All Program","",IF(OR(ABS(G7)&gt;=說明!$C$7,ABS(K7)&gt;=說明!$C$8),"需說明",""))</f>
        <v/>
      </c>
      <c r="M7" s="25" t="str">
        <f aca="false">IF(L7="需說明",COUNTIF($L$5:L7,"需說明"),"")</f>
        <v/>
      </c>
      <c r="N7" s="44"/>
      <c r="O7" s="44"/>
      <c r="P7" s="44"/>
    </row>
    <row r="8" customFormat="false" ht="15" hidden="false" customHeight="false" outlineLevel="0" collapsed="false">
      <c r="A8" s="38" t="n">
        <v>2026</v>
      </c>
      <c r="B8" s="39" t="s">
        <v>77</v>
      </c>
      <c r="C8" s="39" t="s">
        <v>55</v>
      </c>
      <c r="D8" s="39" t="s">
        <v>81</v>
      </c>
      <c r="E8" s="40" t="n">
        <f aca="false">IFERROR(SUMIFS(INDEX(本週_2026!$D$2:$Z$300,0,MATCH($C8,本週_2026!$D$1:$Z$1,0)),本週_2026!$A$2:$A$300,"標打",本週_2026!$B$2:$B$300,"All Iscfm",本週_2026!$C$2:$C$300,$B8),0)</f>
        <v>288629.2</v>
      </c>
      <c r="F8" s="40" t="n">
        <f aca="false">IFERROR(SUMIFS(INDEX(前期_2026!$D$2:$Z$300,0,MATCH($C8,前期_2026!$D$1:$Z$1,0)),前期_2026!$A$2:$A$300,"標打",前期_2026!$B$2:$B$300,"All Iscfm",前期_2026!$C$2:$C$300,$B8),0)</f>
        <v>288629.2</v>
      </c>
      <c r="G8" s="40" t="n">
        <f aca="false">E8-F8</f>
        <v>0</v>
      </c>
      <c r="H8" s="41" t="n">
        <f aca="false">IF(F8=0,"",G8/F8)</f>
        <v>0</v>
      </c>
      <c r="I8" s="42" t="n">
        <f aca="false">IFERROR(SUMIFS(INDEX(本週_2026!$D$2:$Z$300,0,MATCH($C8,本週_2026!$D$1:$Z$1,0)),本週_2026!$A$2:$A$300,"NET_CMT_標打_成改後",本週_2026!$B$2:$B$300,"All Iscfm",本週_2026!$C$2:$C$300,$B8),0)</f>
        <v>18.32</v>
      </c>
      <c r="J8" s="42" t="n">
        <f aca="false">IFERROR(SUMIFS(INDEX(前期_2026!$D$2:$Z$300,0,MATCH($C8,前期_2026!$D$1:$Z$1,0)),前期_2026!$A$2:$A$300,"NET_CMT_標打_成改後",前期_2026!$B$2:$B$300,"All Iscfm",前期_2026!$C$2:$C$300,$B8),0)</f>
        <v>18.32</v>
      </c>
      <c r="K8" s="43" t="n">
        <f aca="false">I8-J8</f>
        <v>0</v>
      </c>
      <c r="L8" s="25" t="str">
        <f aca="false">IF($B8="All Program","",IF(OR(ABS(G8)&gt;=說明!$C$7,ABS(K8)&gt;=說明!$C$8),"需說明",""))</f>
        <v/>
      </c>
      <c r="M8" s="25" t="str">
        <f aca="false">IF(L8="需說明",COUNTIF($L$5:L8,"需說明"),"")</f>
        <v/>
      </c>
      <c r="N8" s="44"/>
      <c r="O8" s="44"/>
      <c r="P8" s="44"/>
    </row>
    <row r="9" customFormat="false" ht="15" hidden="false" customHeight="false" outlineLevel="0" collapsed="false">
      <c r="A9" s="38" t="n">
        <v>2026</v>
      </c>
      <c r="B9" s="39" t="s">
        <v>77</v>
      </c>
      <c r="C9" s="39" t="s">
        <v>56</v>
      </c>
      <c r="D9" s="39" t="s">
        <v>82</v>
      </c>
      <c r="E9" s="40" t="n">
        <f aca="false">IFERROR(SUMIFS(INDEX(本週_2026!$D$2:$Z$300,0,MATCH($C9,本週_2026!$D$1:$Z$1,0)),本週_2026!$A$2:$A$300,"標打",本週_2026!$B$2:$B$300,"All Iscfm",本週_2026!$C$2:$C$300,$B9),0)</f>
        <v>250089.5</v>
      </c>
      <c r="F9" s="40" t="n">
        <f aca="false">IFERROR(SUMIFS(INDEX(前期_2026!$D$2:$Z$300,0,MATCH($C9,前期_2026!$D$1:$Z$1,0)),前期_2026!$A$2:$A$300,"標打",前期_2026!$B$2:$B$300,"All Iscfm",前期_2026!$C$2:$C$300,$B9),0)</f>
        <v>250089.5</v>
      </c>
      <c r="G9" s="40" t="n">
        <f aca="false">E9-F9</f>
        <v>0</v>
      </c>
      <c r="H9" s="41" t="n">
        <f aca="false">IF(F9=0,"",G9/F9)</f>
        <v>0</v>
      </c>
      <c r="I9" s="42" t="n">
        <f aca="false">IFERROR(SUMIFS(INDEX(本週_2026!$D$2:$Z$300,0,MATCH($C9,本週_2026!$D$1:$Z$1,0)),本週_2026!$A$2:$A$300,"NET_CMT_標打_成改後",本週_2026!$B$2:$B$300,"All Iscfm",本週_2026!$C$2:$C$300,$B9),0)</f>
        <v>18.77</v>
      </c>
      <c r="J9" s="42" t="n">
        <f aca="false">IFERROR(SUMIFS(INDEX(前期_2026!$D$2:$Z$300,0,MATCH($C9,前期_2026!$D$1:$Z$1,0)),前期_2026!$A$2:$A$300,"NET_CMT_標打_成改後",前期_2026!$B$2:$B$300,"All Iscfm",前期_2026!$C$2:$C$300,$B9),0)</f>
        <v>18.77</v>
      </c>
      <c r="K9" s="43" t="n">
        <f aca="false">I9-J9</f>
        <v>0</v>
      </c>
      <c r="L9" s="25" t="str">
        <f aca="false">IF($B9="All Program","",IF(OR(ABS(G9)&gt;=說明!$C$7,ABS(K9)&gt;=說明!$C$8),"需說明",""))</f>
        <v/>
      </c>
      <c r="M9" s="25" t="str">
        <f aca="false">IF(L9="需說明",COUNTIF($L$5:L9,"需說明"),"")</f>
        <v/>
      </c>
      <c r="N9" s="44"/>
      <c r="O9" s="44"/>
      <c r="P9" s="44"/>
    </row>
    <row r="10" customFormat="false" ht="15" hidden="false" customHeight="false" outlineLevel="0" collapsed="false">
      <c r="A10" s="45" t="n">
        <v>2026</v>
      </c>
      <c r="B10" s="29" t="s">
        <v>60</v>
      </c>
      <c r="C10" s="29" t="n">
        <v>2026</v>
      </c>
      <c r="D10" s="46" t="s">
        <v>78</v>
      </c>
      <c r="E10" s="47" t="n">
        <f aca="false">IFERROR(SUMIFS(INDEX(本週_2026!$D$2:$Z$300,0,MATCH($C10,本週_2026!$D$1:$Z$1,0)),本週_2026!$A$2:$A$300,"標打",本週_2026!$B$2:$B$300,"All Iscfm",本週_2026!$C$2:$C$300,$B10),0)</f>
        <v>66847.8</v>
      </c>
      <c r="F10" s="47" t="n">
        <f aca="false">IFERROR(SUMIFS(INDEX(前期_2026!$D$2:$Z$300,0,MATCH($C10,前期_2026!$D$1:$Z$1,0)),前期_2026!$A$2:$A$300,"標打",前期_2026!$B$2:$B$300,"All Iscfm",前期_2026!$C$2:$C$300,$B10),0)</f>
        <v>66847.8</v>
      </c>
      <c r="G10" s="47" t="n">
        <f aca="false">E10-F10</f>
        <v>0</v>
      </c>
      <c r="H10" s="48" t="n">
        <f aca="false">IF(F10=0,"",G10/F10)</f>
        <v>0</v>
      </c>
      <c r="I10" s="49" t="n">
        <f aca="false">IFERROR(SUMIFS(INDEX(本週_2026!$D$2:$Z$300,0,MATCH($C10,本週_2026!$D$1:$Z$1,0)),本週_2026!$A$2:$A$300,"NET_CMT_標打_成改後",本週_2026!$B$2:$B$300,"All Iscfm",本週_2026!$C$2:$C$300,$B10),0)</f>
        <v>20.09</v>
      </c>
      <c r="J10" s="49" t="n">
        <f aca="false">IFERROR(SUMIFS(INDEX(前期_2026!$D$2:$Z$300,0,MATCH($C10,前期_2026!$D$1:$Z$1,0)),前期_2026!$A$2:$A$300,"NET_CMT_標打_成改後",前期_2026!$B$2:$B$300,"All Iscfm",前期_2026!$C$2:$C$300,$B10),0)</f>
        <v>20.09</v>
      </c>
      <c r="K10" s="50" t="n">
        <f aca="false">I10-J10</f>
        <v>0</v>
      </c>
      <c r="L10" s="29" t="str">
        <f aca="false">IF($B10="All Program","",IF(OR(ABS(G10)&gt;=說明!$C$7,ABS(K10)&gt;=說明!$C$8),"需說明",""))</f>
        <v/>
      </c>
      <c r="M10" s="29" t="str">
        <f aca="false">IF(L10="需說明",COUNTIF($L$5:L10,"需說明"),"")</f>
        <v/>
      </c>
      <c r="N10" s="44"/>
      <c r="O10" s="44"/>
      <c r="P10" s="44"/>
    </row>
    <row r="11" customFormat="false" ht="15" hidden="false" customHeight="false" outlineLevel="0" collapsed="false">
      <c r="A11" s="45" t="n">
        <v>2026</v>
      </c>
      <c r="B11" s="29" t="s">
        <v>60</v>
      </c>
      <c r="C11" s="29" t="s">
        <v>53</v>
      </c>
      <c r="D11" s="29" t="s">
        <v>79</v>
      </c>
      <c r="E11" s="47" t="n">
        <f aca="false">IFERROR(SUMIFS(INDEX(本週_2026!$D$2:$Z$300,0,MATCH($C11,本週_2026!$D$1:$Z$1,0)),本週_2026!$A$2:$A$300,"標打",本週_2026!$B$2:$B$300,"All Iscfm",本週_2026!$C$2:$C$300,$B11),0)</f>
        <v>9432.4</v>
      </c>
      <c r="F11" s="47" t="n">
        <f aca="false">IFERROR(SUMIFS(INDEX(前期_2026!$D$2:$Z$300,0,MATCH($C11,前期_2026!$D$1:$Z$1,0)),前期_2026!$A$2:$A$300,"標打",前期_2026!$B$2:$B$300,"All Iscfm",前期_2026!$C$2:$C$300,$B11),0)</f>
        <v>9432.4</v>
      </c>
      <c r="G11" s="47" t="n">
        <f aca="false">E11-F11</f>
        <v>0</v>
      </c>
      <c r="H11" s="48" t="n">
        <f aca="false">IF(F11=0,"",G11/F11)</f>
        <v>0</v>
      </c>
      <c r="I11" s="49" t="n">
        <f aca="false">IFERROR(SUMIFS(INDEX(本週_2026!$D$2:$Z$300,0,MATCH($C11,本週_2026!$D$1:$Z$1,0)),本週_2026!$A$2:$A$300,"NET_CMT_標打_成改後",本週_2026!$B$2:$B$300,"All Iscfm",本週_2026!$C$2:$C$300,$B11),0)</f>
        <v>20.54</v>
      </c>
      <c r="J11" s="49" t="n">
        <f aca="false">IFERROR(SUMIFS(INDEX(前期_2026!$D$2:$Z$300,0,MATCH($C11,前期_2026!$D$1:$Z$1,0)),前期_2026!$A$2:$A$300,"NET_CMT_標打_成改後",前期_2026!$B$2:$B$300,"All Iscfm",前期_2026!$C$2:$C$300,$B11),0)</f>
        <v>20.54</v>
      </c>
      <c r="K11" s="50" t="n">
        <f aca="false">I11-J11</f>
        <v>0</v>
      </c>
      <c r="L11" s="29" t="str">
        <f aca="false">IF($B11="All Program","",IF(OR(ABS(G11)&gt;=說明!$C$7,ABS(K11)&gt;=說明!$C$8),"需說明",""))</f>
        <v/>
      </c>
      <c r="M11" s="29" t="str">
        <f aca="false">IF(L11="需說明",COUNTIF($L$5:L11,"需說明"),"")</f>
        <v/>
      </c>
      <c r="N11" s="44"/>
      <c r="O11" s="44"/>
      <c r="P11" s="44"/>
    </row>
    <row r="12" customFormat="false" ht="15" hidden="false" customHeight="false" outlineLevel="0" collapsed="false">
      <c r="A12" s="45" t="n">
        <v>2026</v>
      </c>
      <c r="B12" s="29" t="s">
        <v>60</v>
      </c>
      <c r="C12" s="29" t="s">
        <v>54</v>
      </c>
      <c r="D12" s="29" t="s">
        <v>80</v>
      </c>
      <c r="E12" s="47" t="n">
        <f aca="false">IFERROR(SUMIFS(INDEX(本週_2026!$D$2:$Z$300,0,MATCH($C12,本週_2026!$D$1:$Z$1,0)),本週_2026!$A$2:$A$300,"標打",本週_2026!$B$2:$B$300,"All Iscfm",本週_2026!$C$2:$C$300,$B12),0)</f>
        <v>21764.2</v>
      </c>
      <c r="F12" s="47" t="n">
        <f aca="false">IFERROR(SUMIFS(INDEX(前期_2026!$D$2:$Z$300,0,MATCH($C12,前期_2026!$D$1:$Z$1,0)),前期_2026!$A$2:$A$300,"標打",前期_2026!$B$2:$B$300,"All Iscfm",前期_2026!$C$2:$C$300,$B12),0)</f>
        <v>21764.2</v>
      </c>
      <c r="G12" s="47" t="n">
        <f aca="false">E12-F12</f>
        <v>0</v>
      </c>
      <c r="H12" s="48" t="n">
        <f aca="false">IF(F12=0,"",G12/F12)</f>
        <v>0</v>
      </c>
      <c r="I12" s="49" t="n">
        <f aca="false">IFERROR(SUMIFS(INDEX(本週_2026!$D$2:$Z$300,0,MATCH($C12,本週_2026!$D$1:$Z$1,0)),本週_2026!$A$2:$A$300,"NET_CMT_標打_成改後",本週_2026!$B$2:$B$300,"All Iscfm",本週_2026!$C$2:$C$300,$B12),0)</f>
        <v>21.05</v>
      </c>
      <c r="J12" s="49" t="n">
        <f aca="false">IFERROR(SUMIFS(INDEX(前期_2026!$D$2:$Z$300,0,MATCH($C12,前期_2026!$D$1:$Z$1,0)),前期_2026!$A$2:$A$300,"NET_CMT_標打_成改後",前期_2026!$B$2:$B$300,"All Iscfm",前期_2026!$C$2:$C$300,$B12),0)</f>
        <v>21.05</v>
      </c>
      <c r="K12" s="50" t="n">
        <f aca="false">I12-J12</f>
        <v>0</v>
      </c>
      <c r="L12" s="29" t="str">
        <f aca="false">IF($B12="All Program","",IF(OR(ABS(G12)&gt;=說明!$C$7,ABS(K12)&gt;=說明!$C$8),"需說明",""))</f>
        <v/>
      </c>
      <c r="M12" s="29" t="str">
        <f aca="false">IF(L12="需說明",COUNTIF($L$5:L12,"需說明"),"")</f>
        <v/>
      </c>
      <c r="N12" s="44"/>
      <c r="O12" s="44"/>
      <c r="P12" s="44"/>
    </row>
    <row r="13" customFormat="false" ht="15" hidden="false" customHeight="false" outlineLevel="0" collapsed="false">
      <c r="A13" s="45" t="n">
        <v>2026</v>
      </c>
      <c r="B13" s="29" t="s">
        <v>60</v>
      </c>
      <c r="C13" s="29" t="s">
        <v>55</v>
      </c>
      <c r="D13" s="29" t="s">
        <v>81</v>
      </c>
      <c r="E13" s="47" t="n">
        <f aca="false">IFERROR(SUMIFS(INDEX(本週_2026!$D$2:$Z$300,0,MATCH($C13,本週_2026!$D$1:$Z$1,0)),本週_2026!$A$2:$A$300,"標打",本週_2026!$B$2:$B$300,"All Iscfm",本週_2026!$C$2:$C$300,$B13),0)</f>
        <v>17685.8</v>
      </c>
      <c r="F13" s="47" t="n">
        <f aca="false">IFERROR(SUMIFS(INDEX(前期_2026!$D$2:$Z$300,0,MATCH($C13,前期_2026!$D$1:$Z$1,0)),前期_2026!$A$2:$A$300,"標打",前期_2026!$B$2:$B$300,"All Iscfm",前期_2026!$C$2:$C$300,$B13),0)</f>
        <v>17685.8</v>
      </c>
      <c r="G13" s="47" t="n">
        <f aca="false">E13-F13</f>
        <v>0</v>
      </c>
      <c r="H13" s="48" t="n">
        <f aca="false">IF(F13=0,"",G13/F13)</f>
        <v>0</v>
      </c>
      <c r="I13" s="49" t="n">
        <f aca="false">IFERROR(SUMIFS(INDEX(本週_2026!$D$2:$Z$300,0,MATCH($C13,本週_2026!$D$1:$Z$1,0)),本週_2026!$A$2:$A$300,"NET_CMT_標打_成改後",本週_2026!$B$2:$B$300,"All Iscfm",本週_2026!$C$2:$C$300,$B13),0)</f>
        <v>19.11</v>
      </c>
      <c r="J13" s="49" t="n">
        <f aca="false">IFERROR(SUMIFS(INDEX(前期_2026!$D$2:$Z$300,0,MATCH($C13,前期_2026!$D$1:$Z$1,0)),前期_2026!$A$2:$A$300,"NET_CMT_標打_成改後",前期_2026!$B$2:$B$300,"All Iscfm",前期_2026!$C$2:$C$300,$B13),0)</f>
        <v>19.11</v>
      </c>
      <c r="K13" s="50" t="n">
        <f aca="false">I13-J13</f>
        <v>0</v>
      </c>
      <c r="L13" s="29" t="str">
        <f aca="false">IF($B13="All Program","",IF(OR(ABS(G13)&gt;=說明!$C$7,ABS(K13)&gt;=說明!$C$8),"需說明",""))</f>
        <v/>
      </c>
      <c r="M13" s="29" t="str">
        <f aca="false">IF(L13="需說明",COUNTIF($L$5:L13,"需說明"),"")</f>
        <v/>
      </c>
      <c r="N13" s="44"/>
      <c r="O13" s="44"/>
      <c r="P13" s="44"/>
    </row>
    <row r="14" customFormat="false" ht="15" hidden="false" customHeight="false" outlineLevel="0" collapsed="false">
      <c r="A14" s="45" t="n">
        <v>2026</v>
      </c>
      <c r="B14" s="29" t="s">
        <v>60</v>
      </c>
      <c r="C14" s="29" t="s">
        <v>56</v>
      </c>
      <c r="D14" s="29" t="s">
        <v>82</v>
      </c>
      <c r="E14" s="47" t="n">
        <f aca="false">IFERROR(SUMIFS(INDEX(本週_2026!$D$2:$Z$300,0,MATCH($C14,本週_2026!$D$1:$Z$1,0)),本週_2026!$A$2:$A$300,"標打",本週_2026!$B$2:$B$300,"All Iscfm",本週_2026!$C$2:$C$300,$B14),0)</f>
        <v>17965.3</v>
      </c>
      <c r="F14" s="47" t="n">
        <f aca="false">IFERROR(SUMIFS(INDEX(前期_2026!$D$2:$Z$300,0,MATCH($C14,前期_2026!$D$1:$Z$1,0)),前期_2026!$A$2:$A$300,"標打",前期_2026!$B$2:$B$300,"All Iscfm",前期_2026!$C$2:$C$300,$B14),0)</f>
        <v>17965.3</v>
      </c>
      <c r="G14" s="47" t="n">
        <f aca="false">E14-F14</f>
        <v>0</v>
      </c>
      <c r="H14" s="48" t="n">
        <f aca="false">IF(F14=0,"",G14/F14)</f>
        <v>0</v>
      </c>
      <c r="I14" s="49" t="n">
        <f aca="false">IFERROR(SUMIFS(INDEX(本週_2026!$D$2:$Z$300,0,MATCH($C14,本週_2026!$D$1:$Z$1,0)),本週_2026!$A$2:$A$300,"NET_CMT_標打_成改後",本週_2026!$B$2:$B$300,"All Iscfm",本週_2026!$C$2:$C$300,$B14),0)</f>
        <v>19.66</v>
      </c>
      <c r="J14" s="49" t="n">
        <f aca="false">IFERROR(SUMIFS(INDEX(前期_2026!$D$2:$Z$300,0,MATCH($C14,前期_2026!$D$1:$Z$1,0)),前期_2026!$A$2:$A$300,"NET_CMT_標打_成改後",前期_2026!$B$2:$B$300,"All Iscfm",前期_2026!$C$2:$C$300,$B14),0)</f>
        <v>19.66</v>
      </c>
      <c r="K14" s="50" t="n">
        <f aca="false">I14-J14</f>
        <v>0</v>
      </c>
      <c r="L14" s="29" t="str">
        <f aca="false">IF($B14="All Program","",IF(OR(ABS(G14)&gt;=說明!$C$7,ABS(K14)&gt;=說明!$C$8),"需說明",""))</f>
        <v/>
      </c>
      <c r="M14" s="29" t="str">
        <f aca="false">IF(L14="需說明",COUNTIF($L$5:L14,"需說明"),"")</f>
        <v/>
      </c>
      <c r="N14" s="44"/>
      <c r="O14" s="44"/>
      <c r="P14" s="44"/>
    </row>
    <row r="15" customFormat="false" ht="15" hidden="false" customHeight="false" outlineLevel="0" collapsed="false">
      <c r="A15" s="45" t="n">
        <v>2026</v>
      </c>
      <c r="B15" s="29" t="s">
        <v>61</v>
      </c>
      <c r="C15" s="29" t="n">
        <v>2026</v>
      </c>
      <c r="D15" s="46" t="s">
        <v>78</v>
      </c>
      <c r="E15" s="47" t="n">
        <f aca="false">IFERROR(SUMIFS(INDEX(本週_2026!$D$2:$Z$300,0,MATCH($C15,本週_2026!$D$1:$Z$1,0)),本週_2026!$A$2:$A$300,"標打",本週_2026!$B$2:$B$300,"All Iscfm",本週_2026!$C$2:$C$300,$B15),0)</f>
        <v>95393.1</v>
      </c>
      <c r="F15" s="47" t="n">
        <f aca="false">IFERROR(SUMIFS(INDEX(前期_2026!$D$2:$Z$300,0,MATCH($C15,前期_2026!$D$1:$Z$1,0)),前期_2026!$A$2:$A$300,"標打",前期_2026!$B$2:$B$300,"All Iscfm",前期_2026!$C$2:$C$300,$B15),0)</f>
        <v>95393.1</v>
      </c>
      <c r="G15" s="47" t="n">
        <f aca="false">E15-F15</f>
        <v>0</v>
      </c>
      <c r="H15" s="48" t="n">
        <f aca="false">IF(F15=0,"",G15/F15)</f>
        <v>0</v>
      </c>
      <c r="I15" s="49" t="n">
        <f aca="false">IFERROR(SUMIFS(INDEX(本週_2026!$D$2:$Z$300,0,MATCH($C15,本週_2026!$D$1:$Z$1,0)),本週_2026!$A$2:$A$300,"NET_CMT_標打_成改後",本週_2026!$B$2:$B$300,"All Iscfm",本週_2026!$C$2:$C$300,$B15),0)</f>
        <v>17.93</v>
      </c>
      <c r="J15" s="49" t="n">
        <f aca="false">IFERROR(SUMIFS(INDEX(前期_2026!$D$2:$Z$300,0,MATCH($C15,前期_2026!$D$1:$Z$1,0)),前期_2026!$A$2:$A$300,"NET_CMT_標打_成改後",前期_2026!$B$2:$B$300,"All Iscfm",前期_2026!$C$2:$C$300,$B15),0)</f>
        <v>17.93</v>
      </c>
      <c r="K15" s="50" t="n">
        <f aca="false">I15-J15</f>
        <v>0</v>
      </c>
      <c r="L15" s="29" t="str">
        <f aca="false">IF($B15="All Program","",IF(OR(ABS(G15)&gt;=說明!$C$7,ABS(K15)&gt;=說明!$C$8),"需說明",""))</f>
        <v/>
      </c>
      <c r="M15" s="29" t="str">
        <f aca="false">IF(L15="需說明",COUNTIF($L$5:L15,"需說明"),"")</f>
        <v/>
      </c>
      <c r="N15" s="44"/>
      <c r="O15" s="44"/>
      <c r="P15" s="44"/>
    </row>
    <row r="16" customFormat="false" ht="15" hidden="false" customHeight="false" outlineLevel="0" collapsed="false">
      <c r="A16" s="45" t="n">
        <v>2026</v>
      </c>
      <c r="B16" s="29" t="s">
        <v>61</v>
      </c>
      <c r="C16" s="29" t="s">
        <v>53</v>
      </c>
      <c r="D16" s="29" t="s">
        <v>79</v>
      </c>
      <c r="E16" s="47" t="n">
        <f aca="false">IFERROR(SUMIFS(INDEX(本週_2026!$D$2:$Z$300,0,MATCH($C16,本週_2026!$D$1:$Z$1,0)),本週_2026!$A$2:$A$300,"標打",本週_2026!$B$2:$B$300,"All Iscfm",本週_2026!$C$2:$C$300,$B16),0)</f>
        <v>20595.7</v>
      </c>
      <c r="F16" s="47" t="n">
        <f aca="false">IFERROR(SUMIFS(INDEX(前期_2026!$D$2:$Z$300,0,MATCH($C16,前期_2026!$D$1:$Z$1,0)),前期_2026!$A$2:$A$300,"標打",前期_2026!$B$2:$B$300,"All Iscfm",前期_2026!$C$2:$C$300,$B16),0)</f>
        <v>20595.7</v>
      </c>
      <c r="G16" s="47" t="n">
        <f aca="false">E16-F16</f>
        <v>0</v>
      </c>
      <c r="H16" s="48" t="n">
        <f aca="false">IF(F16=0,"",G16/F16)</f>
        <v>0</v>
      </c>
      <c r="I16" s="49" t="n">
        <f aca="false">IFERROR(SUMIFS(INDEX(本週_2026!$D$2:$Z$300,0,MATCH($C16,本週_2026!$D$1:$Z$1,0)),本週_2026!$A$2:$A$300,"NET_CMT_標打_成改後",本週_2026!$B$2:$B$300,"All Iscfm",本週_2026!$C$2:$C$300,$B16),0)</f>
        <v>18.64</v>
      </c>
      <c r="J16" s="49" t="n">
        <f aca="false">IFERROR(SUMIFS(INDEX(前期_2026!$D$2:$Z$300,0,MATCH($C16,前期_2026!$D$1:$Z$1,0)),前期_2026!$A$2:$A$300,"NET_CMT_標打_成改後",前期_2026!$B$2:$B$300,"All Iscfm",前期_2026!$C$2:$C$300,$B16),0)</f>
        <v>18.64</v>
      </c>
      <c r="K16" s="50" t="n">
        <f aca="false">I16-J16</f>
        <v>0</v>
      </c>
      <c r="L16" s="29" t="str">
        <f aca="false">IF($B16="All Program","",IF(OR(ABS(G16)&gt;=說明!$C$7,ABS(K16)&gt;=說明!$C$8),"需說明",""))</f>
        <v/>
      </c>
      <c r="M16" s="29" t="str">
        <f aca="false">IF(L16="需說明",COUNTIF($L$5:L16,"需說明"),"")</f>
        <v/>
      </c>
      <c r="N16" s="44"/>
      <c r="O16" s="44"/>
      <c r="P16" s="44"/>
    </row>
    <row r="17" customFormat="false" ht="15" hidden="false" customHeight="false" outlineLevel="0" collapsed="false">
      <c r="A17" s="45" t="n">
        <v>2026</v>
      </c>
      <c r="B17" s="29" t="s">
        <v>61</v>
      </c>
      <c r="C17" s="29" t="s">
        <v>54</v>
      </c>
      <c r="D17" s="29" t="s">
        <v>80</v>
      </c>
      <c r="E17" s="47" t="n">
        <f aca="false">IFERROR(SUMIFS(INDEX(本週_2026!$D$2:$Z$300,0,MATCH($C17,本週_2026!$D$1:$Z$1,0)),本週_2026!$A$2:$A$300,"標打",本週_2026!$B$2:$B$300,"All Iscfm",本週_2026!$C$2:$C$300,$B17),0)</f>
        <v>13833.8</v>
      </c>
      <c r="F17" s="47" t="n">
        <f aca="false">IFERROR(SUMIFS(INDEX(前期_2026!$D$2:$Z$300,0,MATCH($C17,前期_2026!$D$1:$Z$1,0)),前期_2026!$A$2:$A$300,"標打",前期_2026!$B$2:$B$300,"All Iscfm",前期_2026!$C$2:$C$300,$B17),0)</f>
        <v>13833.8</v>
      </c>
      <c r="G17" s="47" t="n">
        <f aca="false">E17-F17</f>
        <v>0</v>
      </c>
      <c r="H17" s="48" t="n">
        <f aca="false">IF(F17=0,"",G17/F17)</f>
        <v>0</v>
      </c>
      <c r="I17" s="49" t="n">
        <f aca="false">IFERROR(SUMIFS(INDEX(本週_2026!$D$2:$Z$300,0,MATCH($C17,本週_2026!$D$1:$Z$1,0)),本週_2026!$A$2:$A$300,"NET_CMT_標打_成改後",本週_2026!$B$2:$B$300,"All Iscfm",本週_2026!$C$2:$C$300,$B17),0)</f>
        <v>17.89</v>
      </c>
      <c r="J17" s="49" t="n">
        <f aca="false">IFERROR(SUMIFS(INDEX(前期_2026!$D$2:$Z$300,0,MATCH($C17,前期_2026!$D$1:$Z$1,0)),前期_2026!$A$2:$A$300,"NET_CMT_標打_成改後",前期_2026!$B$2:$B$300,"All Iscfm",前期_2026!$C$2:$C$300,$B17),0)</f>
        <v>17.89</v>
      </c>
      <c r="K17" s="50" t="n">
        <f aca="false">I17-J17</f>
        <v>0</v>
      </c>
      <c r="L17" s="29" t="str">
        <f aca="false">IF($B17="All Program","",IF(OR(ABS(G17)&gt;=說明!$C$7,ABS(K17)&gt;=說明!$C$8),"需說明",""))</f>
        <v/>
      </c>
      <c r="M17" s="29" t="str">
        <f aca="false">IF(L17="需說明",COUNTIF($L$5:L17,"需說明"),"")</f>
        <v/>
      </c>
      <c r="N17" s="44"/>
      <c r="O17" s="44"/>
      <c r="P17" s="44"/>
    </row>
    <row r="18" customFormat="false" ht="15" hidden="false" customHeight="false" outlineLevel="0" collapsed="false">
      <c r="A18" s="45" t="n">
        <v>2026</v>
      </c>
      <c r="B18" s="29" t="s">
        <v>61</v>
      </c>
      <c r="C18" s="29" t="s">
        <v>55</v>
      </c>
      <c r="D18" s="29" t="s">
        <v>81</v>
      </c>
      <c r="E18" s="47" t="n">
        <f aca="false">IFERROR(SUMIFS(INDEX(本週_2026!$D$2:$Z$300,0,MATCH($C18,本週_2026!$D$1:$Z$1,0)),本週_2026!$A$2:$A$300,"標打",本週_2026!$B$2:$B$300,"All Iscfm",本週_2026!$C$2:$C$300,$B18),0)</f>
        <v>32195.7</v>
      </c>
      <c r="F18" s="47" t="n">
        <f aca="false">IFERROR(SUMIFS(INDEX(前期_2026!$D$2:$Z$300,0,MATCH($C18,前期_2026!$D$1:$Z$1,0)),前期_2026!$A$2:$A$300,"標打",前期_2026!$B$2:$B$300,"All Iscfm",前期_2026!$C$2:$C$300,$B18),0)</f>
        <v>32195.7</v>
      </c>
      <c r="G18" s="47" t="n">
        <f aca="false">E18-F18</f>
        <v>0</v>
      </c>
      <c r="H18" s="48" t="n">
        <f aca="false">IF(F18=0,"",G18/F18)</f>
        <v>0</v>
      </c>
      <c r="I18" s="49" t="n">
        <f aca="false">IFERROR(SUMIFS(INDEX(本週_2026!$D$2:$Z$300,0,MATCH($C18,本週_2026!$D$1:$Z$1,0)),本週_2026!$A$2:$A$300,"NET_CMT_標打_成改後",本週_2026!$B$2:$B$300,"All Iscfm",本週_2026!$C$2:$C$300,$B18),0)</f>
        <v>17.46</v>
      </c>
      <c r="J18" s="49" t="n">
        <f aca="false">IFERROR(SUMIFS(INDEX(前期_2026!$D$2:$Z$300,0,MATCH($C18,前期_2026!$D$1:$Z$1,0)),前期_2026!$A$2:$A$300,"NET_CMT_標打_成改後",前期_2026!$B$2:$B$300,"All Iscfm",前期_2026!$C$2:$C$300,$B18),0)</f>
        <v>17.46</v>
      </c>
      <c r="K18" s="50" t="n">
        <f aca="false">I18-J18</f>
        <v>0</v>
      </c>
      <c r="L18" s="29" t="str">
        <f aca="false">IF($B18="All Program","",IF(OR(ABS(G18)&gt;=說明!$C$7,ABS(K18)&gt;=說明!$C$8),"需說明",""))</f>
        <v/>
      </c>
      <c r="M18" s="29" t="str">
        <f aca="false">IF(L18="需說明",COUNTIF($L$5:L18,"需說明"),"")</f>
        <v/>
      </c>
      <c r="N18" s="44"/>
      <c r="O18" s="44"/>
      <c r="P18" s="44"/>
    </row>
    <row r="19" customFormat="false" ht="15" hidden="false" customHeight="false" outlineLevel="0" collapsed="false">
      <c r="A19" s="45" t="n">
        <v>2026</v>
      </c>
      <c r="B19" s="29" t="s">
        <v>61</v>
      </c>
      <c r="C19" s="29" t="s">
        <v>56</v>
      </c>
      <c r="D19" s="29" t="s">
        <v>82</v>
      </c>
      <c r="E19" s="47" t="n">
        <f aca="false">IFERROR(SUMIFS(INDEX(本週_2026!$D$2:$Z$300,0,MATCH($C19,本週_2026!$D$1:$Z$1,0)),本週_2026!$A$2:$A$300,"標打",本週_2026!$B$2:$B$300,"All Iscfm",本週_2026!$C$2:$C$300,$B19),0)</f>
        <v>28767.8</v>
      </c>
      <c r="F19" s="47" t="n">
        <f aca="false">IFERROR(SUMIFS(INDEX(前期_2026!$D$2:$Z$300,0,MATCH($C19,前期_2026!$D$1:$Z$1,0)),前期_2026!$A$2:$A$300,"標打",前期_2026!$B$2:$B$300,"All Iscfm",前期_2026!$C$2:$C$300,$B19),0)</f>
        <v>28767.8</v>
      </c>
      <c r="G19" s="47" t="n">
        <f aca="false">E19-F19</f>
        <v>0</v>
      </c>
      <c r="H19" s="48" t="n">
        <f aca="false">IF(F19=0,"",G19/F19)</f>
        <v>0</v>
      </c>
      <c r="I19" s="49" t="n">
        <f aca="false">IFERROR(SUMIFS(INDEX(本週_2026!$D$2:$Z$300,0,MATCH($C19,本週_2026!$D$1:$Z$1,0)),本週_2026!$A$2:$A$300,"NET_CMT_標打_成改後",本週_2026!$B$2:$B$300,"All Iscfm",本週_2026!$C$2:$C$300,$B19),0)</f>
        <v>17.96</v>
      </c>
      <c r="J19" s="49" t="n">
        <f aca="false">IFERROR(SUMIFS(INDEX(前期_2026!$D$2:$Z$300,0,MATCH($C19,前期_2026!$D$1:$Z$1,0)),前期_2026!$A$2:$A$300,"NET_CMT_標打_成改後",前期_2026!$B$2:$B$300,"All Iscfm",前期_2026!$C$2:$C$300,$B19),0)</f>
        <v>17.96</v>
      </c>
      <c r="K19" s="50" t="n">
        <f aca="false">I19-J19</f>
        <v>0</v>
      </c>
      <c r="L19" s="29" t="str">
        <f aca="false">IF($B19="All Program","",IF(OR(ABS(G19)&gt;=說明!$C$7,ABS(K19)&gt;=說明!$C$8),"需說明",""))</f>
        <v/>
      </c>
      <c r="M19" s="29" t="str">
        <f aca="false">IF(L19="需說明",COUNTIF($L$5:L19,"需說明"),"")</f>
        <v/>
      </c>
      <c r="N19" s="44"/>
      <c r="O19" s="44"/>
      <c r="P19" s="44"/>
    </row>
    <row r="20" customFormat="false" ht="15" hidden="false" customHeight="false" outlineLevel="0" collapsed="false">
      <c r="A20" s="45" t="n">
        <v>2026</v>
      </c>
      <c r="B20" s="29" t="s">
        <v>62</v>
      </c>
      <c r="C20" s="29" t="n">
        <v>2026</v>
      </c>
      <c r="D20" s="46" t="s">
        <v>78</v>
      </c>
      <c r="E20" s="47" t="n">
        <f aca="false">IFERROR(SUMIFS(INDEX(本週_2026!$D$2:$Z$300,0,MATCH($C20,本週_2026!$D$1:$Z$1,0)),本週_2026!$A$2:$A$300,"標打",本週_2026!$B$2:$B$300,"All Iscfm",本週_2026!$C$2:$C$300,$B20),0)</f>
        <v>65495.8</v>
      </c>
      <c r="F20" s="47" t="n">
        <f aca="false">IFERROR(SUMIFS(INDEX(前期_2026!$D$2:$Z$300,0,MATCH($C20,前期_2026!$D$1:$Z$1,0)),前期_2026!$A$2:$A$300,"標打",前期_2026!$B$2:$B$300,"All Iscfm",前期_2026!$C$2:$C$300,$B20),0)</f>
        <v>65495.8</v>
      </c>
      <c r="G20" s="47" t="n">
        <f aca="false">E20-F20</f>
        <v>0</v>
      </c>
      <c r="H20" s="48" t="n">
        <f aca="false">IF(F20=0,"",G20/F20)</f>
        <v>0</v>
      </c>
      <c r="I20" s="49" t="n">
        <f aca="false">IFERROR(SUMIFS(INDEX(本週_2026!$D$2:$Z$300,0,MATCH($C20,本週_2026!$D$1:$Z$1,0)),本週_2026!$A$2:$A$300,"NET_CMT_標打_成改後",本週_2026!$B$2:$B$300,"All Iscfm",本週_2026!$C$2:$C$300,$B20),0)</f>
        <v>22.68</v>
      </c>
      <c r="J20" s="49" t="n">
        <f aca="false">IFERROR(SUMIFS(INDEX(前期_2026!$D$2:$Z$300,0,MATCH($C20,前期_2026!$D$1:$Z$1,0)),前期_2026!$A$2:$A$300,"NET_CMT_標打_成改後",前期_2026!$B$2:$B$300,"All Iscfm",前期_2026!$C$2:$C$300,$B20),0)</f>
        <v>22.68</v>
      </c>
      <c r="K20" s="50" t="n">
        <f aca="false">I20-J20</f>
        <v>0</v>
      </c>
      <c r="L20" s="29" t="str">
        <f aca="false">IF($B20="All Program","",IF(OR(ABS(G20)&gt;=說明!$C$7,ABS(K20)&gt;=說明!$C$8),"需說明",""))</f>
        <v/>
      </c>
      <c r="M20" s="29" t="str">
        <f aca="false">IF(L20="需說明",COUNTIF($L$5:L20,"需說明"),"")</f>
        <v/>
      </c>
      <c r="N20" s="44"/>
      <c r="O20" s="44"/>
      <c r="P20" s="44"/>
    </row>
    <row r="21" customFormat="false" ht="15" hidden="false" customHeight="false" outlineLevel="0" collapsed="false">
      <c r="A21" s="45" t="n">
        <v>2026</v>
      </c>
      <c r="B21" s="29" t="s">
        <v>62</v>
      </c>
      <c r="C21" s="29" t="s">
        <v>53</v>
      </c>
      <c r="D21" s="29" t="s">
        <v>79</v>
      </c>
      <c r="E21" s="47" t="n">
        <f aca="false">IFERROR(SUMIFS(INDEX(本週_2026!$D$2:$Z$300,0,MATCH($C21,本週_2026!$D$1:$Z$1,0)),本週_2026!$A$2:$A$300,"標打",本週_2026!$B$2:$B$300,"All Iscfm",本週_2026!$C$2:$C$300,$B21),0)</f>
        <v>25708.7</v>
      </c>
      <c r="F21" s="47" t="n">
        <f aca="false">IFERROR(SUMIFS(INDEX(前期_2026!$D$2:$Z$300,0,MATCH($C21,前期_2026!$D$1:$Z$1,0)),前期_2026!$A$2:$A$300,"標打",前期_2026!$B$2:$B$300,"All Iscfm",前期_2026!$C$2:$C$300,$B21),0)</f>
        <v>25708.7</v>
      </c>
      <c r="G21" s="47" t="n">
        <f aca="false">E21-F21</f>
        <v>0</v>
      </c>
      <c r="H21" s="48" t="n">
        <f aca="false">IF(F21=0,"",G21/F21)</f>
        <v>0</v>
      </c>
      <c r="I21" s="49" t="n">
        <f aca="false">IFERROR(SUMIFS(INDEX(本週_2026!$D$2:$Z$300,0,MATCH($C21,本週_2026!$D$1:$Z$1,0)),本週_2026!$A$2:$A$300,"NET_CMT_標打_成改後",本週_2026!$B$2:$B$300,"All Iscfm",本週_2026!$C$2:$C$300,$B21),0)</f>
        <v>23.05</v>
      </c>
      <c r="J21" s="49" t="n">
        <f aca="false">IFERROR(SUMIFS(INDEX(前期_2026!$D$2:$Z$300,0,MATCH($C21,前期_2026!$D$1:$Z$1,0)),前期_2026!$A$2:$A$300,"NET_CMT_標打_成改後",前期_2026!$B$2:$B$300,"All Iscfm",前期_2026!$C$2:$C$300,$B21),0)</f>
        <v>23.05</v>
      </c>
      <c r="K21" s="50" t="n">
        <f aca="false">I21-J21</f>
        <v>0</v>
      </c>
      <c r="L21" s="29" t="str">
        <f aca="false">IF($B21="All Program","",IF(OR(ABS(G21)&gt;=說明!$C$7,ABS(K21)&gt;=說明!$C$8),"需說明",""))</f>
        <v/>
      </c>
      <c r="M21" s="29" t="str">
        <f aca="false">IF(L21="需說明",COUNTIF($L$5:L21,"需說明"),"")</f>
        <v/>
      </c>
      <c r="N21" s="44"/>
      <c r="O21" s="44"/>
      <c r="P21" s="44"/>
    </row>
    <row r="22" customFormat="false" ht="15" hidden="false" customHeight="false" outlineLevel="0" collapsed="false">
      <c r="A22" s="45" t="n">
        <v>2026</v>
      </c>
      <c r="B22" s="29" t="s">
        <v>62</v>
      </c>
      <c r="C22" s="29" t="s">
        <v>54</v>
      </c>
      <c r="D22" s="29" t="s">
        <v>80</v>
      </c>
      <c r="E22" s="47" t="n">
        <f aca="false">IFERROR(SUMIFS(INDEX(本週_2026!$D$2:$Z$300,0,MATCH($C22,本週_2026!$D$1:$Z$1,0)),本週_2026!$A$2:$A$300,"標打",本週_2026!$B$2:$B$300,"All Iscfm",本週_2026!$C$2:$C$300,$B22),0)</f>
        <v>10777.9</v>
      </c>
      <c r="F22" s="47" t="n">
        <f aca="false">IFERROR(SUMIFS(INDEX(前期_2026!$D$2:$Z$300,0,MATCH($C22,前期_2026!$D$1:$Z$1,0)),前期_2026!$A$2:$A$300,"標打",前期_2026!$B$2:$B$300,"All Iscfm",前期_2026!$C$2:$C$300,$B22),0)</f>
        <v>10777.9</v>
      </c>
      <c r="G22" s="47" t="n">
        <f aca="false">E22-F22</f>
        <v>0</v>
      </c>
      <c r="H22" s="48" t="n">
        <f aca="false">IF(F22=0,"",G22/F22)</f>
        <v>0</v>
      </c>
      <c r="I22" s="49" t="n">
        <f aca="false">IFERROR(SUMIFS(INDEX(本週_2026!$D$2:$Z$300,0,MATCH($C22,本週_2026!$D$1:$Z$1,0)),本週_2026!$A$2:$A$300,"NET_CMT_標打_成改後",本週_2026!$B$2:$B$300,"All Iscfm",本週_2026!$C$2:$C$300,$B22),0)</f>
        <v>23.07</v>
      </c>
      <c r="J22" s="49" t="n">
        <f aca="false">IFERROR(SUMIFS(INDEX(前期_2026!$D$2:$Z$300,0,MATCH($C22,前期_2026!$D$1:$Z$1,0)),前期_2026!$A$2:$A$300,"NET_CMT_標打_成改後",前期_2026!$B$2:$B$300,"All Iscfm",前期_2026!$C$2:$C$300,$B22),0)</f>
        <v>23.07</v>
      </c>
      <c r="K22" s="50" t="n">
        <f aca="false">I22-J22</f>
        <v>0</v>
      </c>
      <c r="L22" s="29" t="str">
        <f aca="false">IF($B22="All Program","",IF(OR(ABS(G22)&gt;=說明!$C$7,ABS(K22)&gt;=說明!$C$8),"需說明",""))</f>
        <v/>
      </c>
      <c r="M22" s="29" t="str">
        <f aca="false">IF(L22="需說明",COUNTIF($L$5:L22,"需說明"),"")</f>
        <v/>
      </c>
      <c r="N22" s="44"/>
      <c r="O22" s="44"/>
      <c r="P22" s="44"/>
    </row>
    <row r="23" customFormat="false" ht="15" hidden="false" customHeight="false" outlineLevel="0" collapsed="false">
      <c r="A23" s="45" t="n">
        <v>2026</v>
      </c>
      <c r="B23" s="29" t="s">
        <v>62</v>
      </c>
      <c r="C23" s="29" t="s">
        <v>55</v>
      </c>
      <c r="D23" s="29" t="s">
        <v>81</v>
      </c>
      <c r="E23" s="47" t="n">
        <f aca="false">IFERROR(SUMIFS(INDEX(本週_2026!$D$2:$Z$300,0,MATCH($C23,本週_2026!$D$1:$Z$1,0)),本週_2026!$A$2:$A$300,"標打",本週_2026!$B$2:$B$300,"All Iscfm",本週_2026!$C$2:$C$300,$B23),0)</f>
        <v>8722.8</v>
      </c>
      <c r="F23" s="47" t="n">
        <f aca="false">IFERROR(SUMIFS(INDEX(前期_2026!$D$2:$Z$300,0,MATCH($C23,前期_2026!$D$1:$Z$1,0)),前期_2026!$A$2:$A$300,"標打",前期_2026!$B$2:$B$300,"All Iscfm",前期_2026!$C$2:$C$300,$B23),0)</f>
        <v>8722.8</v>
      </c>
      <c r="G23" s="47" t="n">
        <f aca="false">E23-F23</f>
        <v>0</v>
      </c>
      <c r="H23" s="48" t="n">
        <f aca="false">IF(F23=0,"",G23/F23)</f>
        <v>0</v>
      </c>
      <c r="I23" s="49" t="n">
        <f aca="false">IFERROR(SUMIFS(INDEX(本週_2026!$D$2:$Z$300,0,MATCH($C23,本週_2026!$D$1:$Z$1,0)),本週_2026!$A$2:$A$300,"NET_CMT_標打_成改後",本週_2026!$B$2:$B$300,"All Iscfm",本週_2026!$C$2:$C$300,$B23),0)</f>
        <v>21.5</v>
      </c>
      <c r="J23" s="49" t="n">
        <f aca="false">IFERROR(SUMIFS(INDEX(前期_2026!$D$2:$Z$300,0,MATCH($C23,前期_2026!$D$1:$Z$1,0)),前期_2026!$A$2:$A$300,"NET_CMT_標打_成改後",前期_2026!$B$2:$B$300,"All Iscfm",前期_2026!$C$2:$C$300,$B23),0)</f>
        <v>21.5</v>
      </c>
      <c r="K23" s="50" t="n">
        <f aca="false">I23-J23</f>
        <v>0</v>
      </c>
      <c r="L23" s="29" t="str">
        <f aca="false">IF($B23="All Program","",IF(OR(ABS(G23)&gt;=說明!$C$7,ABS(K23)&gt;=說明!$C$8),"需說明",""))</f>
        <v/>
      </c>
      <c r="M23" s="29" t="str">
        <f aca="false">IF(L23="需說明",COUNTIF($L$5:L23,"需說明"),"")</f>
        <v/>
      </c>
      <c r="N23" s="44"/>
      <c r="O23" s="44"/>
      <c r="P23" s="44"/>
    </row>
    <row r="24" customFormat="false" ht="15" hidden="false" customHeight="false" outlineLevel="0" collapsed="false">
      <c r="A24" s="45" t="n">
        <v>2026</v>
      </c>
      <c r="B24" s="29" t="s">
        <v>62</v>
      </c>
      <c r="C24" s="29" t="s">
        <v>56</v>
      </c>
      <c r="D24" s="29" t="s">
        <v>82</v>
      </c>
      <c r="E24" s="47" t="n">
        <f aca="false">IFERROR(SUMIFS(INDEX(本週_2026!$D$2:$Z$300,0,MATCH($C24,本週_2026!$D$1:$Z$1,0)),本週_2026!$A$2:$A$300,"標打",本週_2026!$B$2:$B$300,"All Iscfm",本週_2026!$C$2:$C$300,$B24),0)</f>
        <v>20286.5</v>
      </c>
      <c r="F24" s="47" t="n">
        <f aca="false">IFERROR(SUMIFS(INDEX(前期_2026!$D$2:$Z$300,0,MATCH($C24,前期_2026!$D$1:$Z$1,0)),前期_2026!$A$2:$A$300,"標打",前期_2026!$B$2:$B$300,"All Iscfm",前期_2026!$C$2:$C$300,$B24),0)</f>
        <v>20286.5</v>
      </c>
      <c r="G24" s="47" t="n">
        <f aca="false">E24-F24</f>
        <v>0</v>
      </c>
      <c r="H24" s="48" t="n">
        <f aca="false">IF(F24=0,"",G24/F24)</f>
        <v>0</v>
      </c>
      <c r="I24" s="49" t="n">
        <f aca="false">IFERROR(SUMIFS(INDEX(本週_2026!$D$2:$Z$300,0,MATCH($C24,本週_2026!$D$1:$Z$1,0)),本週_2026!$A$2:$A$300,"NET_CMT_標打_成改後",本週_2026!$B$2:$B$300,"All Iscfm",本週_2026!$C$2:$C$300,$B24),0)</f>
        <v>22.5</v>
      </c>
      <c r="J24" s="49" t="n">
        <f aca="false">IFERROR(SUMIFS(INDEX(前期_2026!$D$2:$Z$300,0,MATCH($C24,前期_2026!$D$1:$Z$1,0)),前期_2026!$A$2:$A$300,"NET_CMT_標打_成改後",前期_2026!$B$2:$B$300,"All Iscfm",前期_2026!$C$2:$C$300,$B24),0)</f>
        <v>22.5</v>
      </c>
      <c r="K24" s="50" t="n">
        <f aca="false">I24-J24</f>
        <v>0</v>
      </c>
      <c r="L24" s="29" t="str">
        <f aca="false">IF($B24="All Program","",IF(OR(ABS(G24)&gt;=說明!$C$7,ABS(K24)&gt;=說明!$C$8),"需說明",""))</f>
        <v/>
      </c>
      <c r="M24" s="29" t="str">
        <f aca="false">IF(L24="需說明",COUNTIF($L$5:L24,"需說明"),"")</f>
        <v/>
      </c>
      <c r="N24" s="44"/>
      <c r="O24" s="44"/>
      <c r="P24" s="44"/>
    </row>
    <row r="25" customFormat="false" ht="15" hidden="false" customHeight="false" outlineLevel="0" collapsed="false">
      <c r="A25" s="45" t="n">
        <v>2026</v>
      </c>
      <c r="B25" s="29" t="s">
        <v>31</v>
      </c>
      <c r="C25" s="29" t="n">
        <v>2026</v>
      </c>
      <c r="D25" s="46" t="s">
        <v>78</v>
      </c>
      <c r="E25" s="47" t="n">
        <f aca="false">IFERROR(SUMIFS(INDEX(本週_2026!$D$2:$Z$300,0,MATCH($C25,本週_2026!$D$1:$Z$1,0)),本週_2026!$A$2:$A$300,"標打",本週_2026!$B$2:$B$300,"All Iscfm",本週_2026!$C$2:$C$300,$B25),0)</f>
        <v>576887</v>
      </c>
      <c r="F25" s="47" t="n">
        <f aca="false">IFERROR(SUMIFS(INDEX(前期_2026!$D$2:$Z$300,0,MATCH($C25,前期_2026!$D$1:$Z$1,0)),前期_2026!$A$2:$A$300,"標打",前期_2026!$B$2:$B$300,"All Iscfm",前期_2026!$C$2:$C$300,$B25),0)</f>
        <v>576887</v>
      </c>
      <c r="G25" s="47" t="n">
        <f aca="false">E25-F25</f>
        <v>0</v>
      </c>
      <c r="H25" s="48" t="n">
        <f aca="false">IF(F25=0,"",G25/F25)</f>
        <v>0</v>
      </c>
      <c r="I25" s="49" t="n">
        <f aca="false">IFERROR(SUMIFS(INDEX(本週_2026!$D$2:$Z$300,0,MATCH($C25,本週_2026!$D$1:$Z$1,0)),本週_2026!$A$2:$A$300,"NET_CMT_標打_成改後",本週_2026!$B$2:$B$300,"All Iscfm",本週_2026!$C$2:$C$300,$B25),0)</f>
        <v>19.31</v>
      </c>
      <c r="J25" s="49" t="n">
        <f aca="false">IFERROR(SUMIFS(INDEX(前期_2026!$D$2:$Z$300,0,MATCH($C25,前期_2026!$D$1:$Z$1,0)),前期_2026!$A$2:$A$300,"NET_CMT_標打_成改後",前期_2026!$B$2:$B$300,"All Iscfm",前期_2026!$C$2:$C$300,$B25),0)</f>
        <v>19.31</v>
      </c>
      <c r="K25" s="50" t="n">
        <f aca="false">I25-J25</f>
        <v>0</v>
      </c>
      <c r="L25" s="29" t="str">
        <f aca="false">IF($B25="All Program","",IF(OR(ABS(G25)&gt;=說明!$C$7,ABS(K25)&gt;=說明!$C$8),"需說明",""))</f>
        <v/>
      </c>
      <c r="M25" s="29" t="str">
        <f aca="false">IF(L25="需說明",COUNTIF($L$5:L25,"需說明"),"")</f>
        <v/>
      </c>
      <c r="N25" s="44"/>
      <c r="O25" s="44"/>
      <c r="P25" s="44"/>
    </row>
    <row r="26" customFormat="false" ht="15" hidden="false" customHeight="false" outlineLevel="0" collapsed="false">
      <c r="A26" s="45" t="n">
        <v>2026</v>
      </c>
      <c r="B26" s="29" t="s">
        <v>31</v>
      </c>
      <c r="C26" s="29" t="s">
        <v>53</v>
      </c>
      <c r="D26" s="29" t="s">
        <v>79</v>
      </c>
      <c r="E26" s="47" t="n">
        <f aca="false">IFERROR(SUMIFS(INDEX(本週_2026!$D$2:$Z$300,0,MATCH($C26,本週_2026!$D$1:$Z$1,0)),本週_2026!$A$2:$A$300,"標打",本週_2026!$B$2:$B$300,"All Iscfm",本週_2026!$C$2:$C$300,$B26),0)</f>
        <v>128117.1</v>
      </c>
      <c r="F26" s="47" t="n">
        <f aca="false">IFERROR(SUMIFS(INDEX(前期_2026!$D$2:$Z$300,0,MATCH($C26,前期_2026!$D$1:$Z$1,0)),前期_2026!$A$2:$A$300,"標打",前期_2026!$B$2:$B$300,"All Iscfm",前期_2026!$C$2:$C$300,$B26),0)</f>
        <v>128117.1</v>
      </c>
      <c r="G26" s="47" t="n">
        <f aca="false">E26-F26</f>
        <v>0</v>
      </c>
      <c r="H26" s="48" t="n">
        <f aca="false">IF(F26=0,"",G26/F26)</f>
        <v>0</v>
      </c>
      <c r="I26" s="49" t="n">
        <f aca="false">IFERROR(SUMIFS(INDEX(本週_2026!$D$2:$Z$300,0,MATCH($C26,本週_2026!$D$1:$Z$1,0)),本週_2026!$A$2:$A$300,"NET_CMT_標打_成改後",本週_2026!$B$2:$B$300,"All Iscfm",本週_2026!$C$2:$C$300,$B26),0)</f>
        <v>20.21</v>
      </c>
      <c r="J26" s="49" t="n">
        <f aca="false">IFERROR(SUMIFS(INDEX(前期_2026!$D$2:$Z$300,0,MATCH($C26,前期_2026!$D$1:$Z$1,0)),前期_2026!$A$2:$A$300,"NET_CMT_標打_成改後",前期_2026!$B$2:$B$300,"All Iscfm",前期_2026!$C$2:$C$300,$B26),0)</f>
        <v>20.21</v>
      </c>
      <c r="K26" s="50" t="n">
        <f aca="false">I26-J26</f>
        <v>0</v>
      </c>
      <c r="L26" s="29" t="str">
        <f aca="false">IF($B26="All Program","",IF(OR(ABS(G26)&gt;=說明!$C$7,ABS(K26)&gt;=說明!$C$8),"需說明",""))</f>
        <v/>
      </c>
      <c r="M26" s="29" t="str">
        <f aca="false">IF(L26="需說明",COUNTIF($L$5:L26,"需說明"),"")</f>
        <v/>
      </c>
      <c r="N26" s="44"/>
      <c r="O26" s="44"/>
      <c r="P26" s="44"/>
    </row>
    <row r="27" customFormat="false" ht="15" hidden="false" customHeight="false" outlineLevel="0" collapsed="false">
      <c r="A27" s="45" t="n">
        <v>2026</v>
      </c>
      <c r="B27" s="29" t="s">
        <v>31</v>
      </c>
      <c r="C27" s="29" t="s">
        <v>54</v>
      </c>
      <c r="D27" s="29" t="s">
        <v>80</v>
      </c>
      <c r="E27" s="47" t="n">
        <f aca="false">IFERROR(SUMIFS(INDEX(本週_2026!$D$2:$Z$300,0,MATCH($C27,本週_2026!$D$1:$Z$1,0)),本週_2026!$A$2:$A$300,"標打",本週_2026!$B$2:$B$300,"All Iscfm",本週_2026!$C$2:$C$300,$B27),0)</f>
        <v>159076.9</v>
      </c>
      <c r="F27" s="47" t="n">
        <f aca="false">IFERROR(SUMIFS(INDEX(前期_2026!$D$2:$Z$300,0,MATCH($C27,前期_2026!$D$1:$Z$1,0)),前期_2026!$A$2:$A$300,"標打",前期_2026!$B$2:$B$300,"All Iscfm",前期_2026!$C$2:$C$300,$B27),0)</f>
        <v>159076.9</v>
      </c>
      <c r="G27" s="47" t="n">
        <f aca="false">E27-F27</f>
        <v>0</v>
      </c>
      <c r="H27" s="48" t="n">
        <f aca="false">IF(F27=0,"",G27/F27)</f>
        <v>0</v>
      </c>
      <c r="I27" s="49" t="n">
        <f aca="false">IFERROR(SUMIFS(INDEX(本週_2026!$D$2:$Z$300,0,MATCH($C27,本週_2026!$D$1:$Z$1,0)),本週_2026!$A$2:$A$300,"NET_CMT_標打_成改後",本週_2026!$B$2:$B$300,"All Iscfm",本週_2026!$C$2:$C$300,$B27),0)</f>
        <v>19.62</v>
      </c>
      <c r="J27" s="49" t="n">
        <f aca="false">IFERROR(SUMIFS(INDEX(前期_2026!$D$2:$Z$300,0,MATCH($C27,前期_2026!$D$1:$Z$1,0)),前期_2026!$A$2:$A$300,"NET_CMT_標打_成改後",前期_2026!$B$2:$B$300,"All Iscfm",前期_2026!$C$2:$C$300,$B27),0)</f>
        <v>19.62</v>
      </c>
      <c r="K27" s="50" t="n">
        <f aca="false">I27-J27</f>
        <v>0</v>
      </c>
      <c r="L27" s="29" t="str">
        <f aca="false">IF($B27="All Program","",IF(OR(ABS(G27)&gt;=說明!$C$7,ABS(K27)&gt;=說明!$C$8),"需說明",""))</f>
        <v/>
      </c>
      <c r="M27" s="29" t="str">
        <f aca="false">IF(L27="需說明",COUNTIF($L$5:L27,"需說明"),"")</f>
        <v/>
      </c>
      <c r="N27" s="44"/>
      <c r="O27" s="44"/>
      <c r="P27" s="44"/>
    </row>
    <row r="28" customFormat="false" ht="15" hidden="false" customHeight="false" outlineLevel="0" collapsed="false">
      <c r="A28" s="45" t="n">
        <v>2026</v>
      </c>
      <c r="B28" s="29" t="s">
        <v>31</v>
      </c>
      <c r="C28" s="29" t="s">
        <v>55</v>
      </c>
      <c r="D28" s="29" t="s">
        <v>81</v>
      </c>
      <c r="E28" s="47" t="n">
        <f aca="false">IFERROR(SUMIFS(INDEX(本週_2026!$D$2:$Z$300,0,MATCH($C28,本週_2026!$D$1:$Z$1,0)),本週_2026!$A$2:$A$300,"標打",本週_2026!$B$2:$B$300,"All Iscfm",本週_2026!$C$2:$C$300,$B28),0)</f>
        <v>173112.2</v>
      </c>
      <c r="F28" s="47" t="n">
        <f aca="false">IFERROR(SUMIFS(INDEX(前期_2026!$D$2:$Z$300,0,MATCH($C28,前期_2026!$D$1:$Z$1,0)),前期_2026!$A$2:$A$300,"標打",前期_2026!$B$2:$B$300,"All Iscfm",前期_2026!$C$2:$C$300,$B28),0)</f>
        <v>173112.2</v>
      </c>
      <c r="G28" s="47" t="n">
        <f aca="false">E28-F28</f>
        <v>0</v>
      </c>
      <c r="H28" s="48" t="n">
        <f aca="false">IF(F28=0,"",G28/F28)</f>
        <v>0</v>
      </c>
      <c r="I28" s="49" t="n">
        <f aca="false">IFERROR(SUMIFS(INDEX(本週_2026!$D$2:$Z$300,0,MATCH($C28,本週_2026!$D$1:$Z$1,0)),本週_2026!$A$2:$A$300,"NET_CMT_標打_成改後",本週_2026!$B$2:$B$300,"All Iscfm",本週_2026!$C$2:$C$300,$B28),0)</f>
        <v>18.6</v>
      </c>
      <c r="J28" s="49" t="n">
        <f aca="false">IFERROR(SUMIFS(INDEX(前期_2026!$D$2:$Z$300,0,MATCH($C28,前期_2026!$D$1:$Z$1,0)),前期_2026!$A$2:$A$300,"NET_CMT_標打_成改後",前期_2026!$B$2:$B$300,"All Iscfm",前期_2026!$C$2:$C$300,$B28),0)</f>
        <v>18.6</v>
      </c>
      <c r="K28" s="50" t="n">
        <f aca="false">I28-J28</f>
        <v>0</v>
      </c>
      <c r="L28" s="29" t="str">
        <f aca="false">IF($B28="All Program","",IF(OR(ABS(G28)&gt;=說明!$C$7,ABS(K28)&gt;=說明!$C$8),"需說明",""))</f>
        <v/>
      </c>
      <c r="M28" s="29" t="str">
        <f aca="false">IF(L28="需說明",COUNTIF($L$5:L28,"需說明"),"")</f>
        <v/>
      </c>
      <c r="N28" s="44"/>
      <c r="O28" s="44"/>
      <c r="P28" s="44"/>
    </row>
    <row r="29" customFormat="false" ht="15" hidden="false" customHeight="false" outlineLevel="0" collapsed="false">
      <c r="A29" s="45" t="n">
        <v>2026</v>
      </c>
      <c r="B29" s="29" t="s">
        <v>31</v>
      </c>
      <c r="C29" s="29" t="s">
        <v>56</v>
      </c>
      <c r="D29" s="29" t="s">
        <v>82</v>
      </c>
      <c r="E29" s="47" t="n">
        <f aca="false">IFERROR(SUMIFS(INDEX(本週_2026!$D$2:$Z$300,0,MATCH($C29,本週_2026!$D$1:$Z$1,0)),本週_2026!$A$2:$A$300,"標打",本週_2026!$B$2:$B$300,"All Iscfm",本週_2026!$C$2:$C$300,$B29),0)</f>
        <v>116580.8</v>
      </c>
      <c r="F29" s="47" t="n">
        <f aca="false">IFERROR(SUMIFS(INDEX(前期_2026!$D$2:$Z$300,0,MATCH($C29,前期_2026!$D$1:$Z$1,0)),前期_2026!$A$2:$A$300,"標打",前期_2026!$B$2:$B$300,"All Iscfm",前期_2026!$C$2:$C$300,$B29),0)</f>
        <v>116580.8</v>
      </c>
      <c r="G29" s="47" t="n">
        <f aca="false">E29-F29</f>
        <v>0</v>
      </c>
      <c r="H29" s="48" t="n">
        <f aca="false">IF(F29=0,"",G29/F29)</f>
        <v>0</v>
      </c>
      <c r="I29" s="49" t="n">
        <f aca="false">IFERROR(SUMIFS(INDEX(本週_2026!$D$2:$Z$300,0,MATCH($C29,本週_2026!$D$1:$Z$1,0)),本週_2026!$A$2:$A$300,"NET_CMT_標打_成改後",本週_2026!$B$2:$B$300,"All Iscfm",本週_2026!$C$2:$C$300,$B29),0)</f>
        <v>18.97</v>
      </c>
      <c r="J29" s="49" t="n">
        <f aca="false">IFERROR(SUMIFS(INDEX(前期_2026!$D$2:$Z$300,0,MATCH($C29,前期_2026!$D$1:$Z$1,0)),前期_2026!$A$2:$A$300,"NET_CMT_標打_成改後",前期_2026!$B$2:$B$300,"All Iscfm",前期_2026!$C$2:$C$300,$B29),0)</f>
        <v>18.97</v>
      </c>
      <c r="K29" s="50" t="n">
        <f aca="false">I29-J29</f>
        <v>0</v>
      </c>
      <c r="L29" s="29" t="str">
        <f aca="false">IF($B29="All Program","",IF(OR(ABS(G29)&gt;=說明!$C$7,ABS(K29)&gt;=說明!$C$8),"需說明",""))</f>
        <v/>
      </c>
      <c r="M29" s="29" t="str">
        <f aca="false">IF(L29="需說明",COUNTIF($L$5:L29,"需說明"),"")</f>
        <v/>
      </c>
      <c r="N29" s="44"/>
      <c r="O29" s="44"/>
      <c r="P29" s="44"/>
    </row>
    <row r="30" customFormat="false" ht="15" hidden="false" customHeight="false" outlineLevel="0" collapsed="false">
      <c r="A30" s="45" t="n">
        <v>2026</v>
      </c>
      <c r="B30" s="29" t="s">
        <v>63</v>
      </c>
      <c r="C30" s="29" t="n">
        <v>2026</v>
      </c>
      <c r="D30" s="46" t="s">
        <v>78</v>
      </c>
      <c r="E30" s="47" t="n">
        <f aca="false">IFERROR(SUMIFS(INDEX(本週_2026!$D$2:$Z$300,0,MATCH($C30,本週_2026!$D$1:$Z$1,0)),本週_2026!$A$2:$A$300,"標打",本週_2026!$B$2:$B$300,"All Iscfm",本週_2026!$C$2:$C$300,$B30),0)</f>
        <v>21370.6</v>
      </c>
      <c r="F30" s="47" t="n">
        <f aca="false">IFERROR(SUMIFS(INDEX(前期_2026!$D$2:$Z$300,0,MATCH($C30,前期_2026!$D$1:$Z$1,0)),前期_2026!$A$2:$A$300,"標打",前期_2026!$B$2:$B$300,"All Iscfm",前期_2026!$C$2:$C$300,$B30),0)</f>
        <v>21370.6</v>
      </c>
      <c r="G30" s="47" t="n">
        <f aca="false">E30-F30</f>
        <v>0</v>
      </c>
      <c r="H30" s="48" t="n">
        <f aca="false">IF(F30=0,"",G30/F30)</f>
        <v>0</v>
      </c>
      <c r="I30" s="49" t="n">
        <f aca="false">IFERROR(SUMIFS(INDEX(本週_2026!$D$2:$Z$300,0,MATCH($C30,本週_2026!$D$1:$Z$1,0)),本週_2026!$A$2:$A$300,"NET_CMT_標打_成改後",本週_2026!$B$2:$B$300,"All Iscfm",本週_2026!$C$2:$C$300,$B30),0)</f>
        <v>20.7</v>
      </c>
      <c r="J30" s="49" t="n">
        <f aca="false">IFERROR(SUMIFS(INDEX(前期_2026!$D$2:$Z$300,0,MATCH($C30,前期_2026!$D$1:$Z$1,0)),前期_2026!$A$2:$A$300,"NET_CMT_標打_成改後",前期_2026!$B$2:$B$300,"All Iscfm",前期_2026!$C$2:$C$300,$B30),0)</f>
        <v>20.7</v>
      </c>
      <c r="K30" s="50" t="n">
        <f aca="false">I30-J30</f>
        <v>0</v>
      </c>
      <c r="L30" s="29" t="str">
        <f aca="false">IF($B30="All Program","",IF(OR(ABS(G30)&gt;=說明!$C$7,ABS(K30)&gt;=說明!$C$8),"需說明",""))</f>
        <v/>
      </c>
      <c r="M30" s="29" t="str">
        <f aca="false">IF(L30="需說明",COUNTIF($L$5:L30,"需說明"),"")</f>
        <v/>
      </c>
      <c r="N30" s="44"/>
      <c r="O30" s="44"/>
      <c r="P30" s="44"/>
    </row>
    <row r="31" customFormat="false" ht="15" hidden="false" customHeight="false" outlineLevel="0" collapsed="false">
      <c r="A31" s="45" t="n">
        <v>2026</v>
      </c>
      <c r="B31" s="29" t="s">
        <v>63</v>
      </c>
      <c r="C31" s="29" t="s">
        <v>53</v>
      </c>
      <c r="D31" s="29" t="s">
        <v>79</v>
      </c>
      <c r="E31" s="47" t="n">
        <f aca="false">IFERROR(SUMIFS(INDEX(本週_2026!$D$2:$Z$300,0,MATCH($C31,本週_2026!$D$1:$Z$1,0)),本週_2026!$A$2:$A$300,"標打",本週_2026!$B$2:$B$300,"All Iscfm",本週_2026!$C$2:$C$300,$B31),0)</f>
        <v>6650.7</v>
      </c>
      <c r="F31" s="47" t="n">
        <f aca="false">IFERROR(SUMIFS(INDEX(前期_2026!$D$2:$Z$300,0,MATCH($C31,前期_2026!$D$1:$Z$1,0)),前期_2026!$A$2:$A$300,"標打",前期_2026!$B$2:$B$300,"All Iscfm",前期_2026!$C$2:$C$300,$B31),0)</f>
        <v>6650.7</v>
      </c>
      <c r="G31" s="47" t="n">
        <f aca="false">E31-F31</f>
        <v>0</v>
      </c>
      <c r="H31" s="48" t="n">
        <f aca="false">IF(F31=0,"",G31/F31)</f>
        <v>0</v>
      </c>
      <c r="I31" s="49" t="n">
        <f aca="false">IFERROR(SUMIFS(INDEX(本週_2026!$D$2:$Z$300,0,MATCH($C31,本週_2026!$D$1:$Z$1,0)),本週_2026!$A$2:$A$300,"NET_CMT_標打_成改後",本週_2026!$B$2:$B$300,"All Iscfm",本週_2026!$C$2:$C$300,$B31),0)</f>
        <v>21.52</v>
      </c>
      <c r="J31" s="49" t="n">
        <f aca="false">IFERROR(SUMIFS(INDEX(前期_2026!$D$2:$Z$300,0,MATCH($C31,前期_2026!$D$1:$Z$1,0)),前期_2026!$A$2:$A$300,"NET_CMT_標打_成改後",前期_2026!$B$2:$B$300,"All Iscfm",前期_2026!$C$2:$C$300,$B31),0)</f>
        <v>21.52</v>
      </c>
      <c r="K31" s="50" t="n">
        <f aca="false">I31-J31</f>
        <v>0</v>
      </c>
      <c r="L31" s="29" t="str">
        <f aca="false">IF($B31="All Program","",IF(OR(ABS(G31)&gt;=說明!$C$7,ABS(K31)&gt;=說明!$C$8),"需說明",""))</f>
        <v/>
      </c>
      <c r="M31" s="29" t="str">
        <f aca="false">IF(L31="需說明",COUNTIF($L$5:L31,"需說明"),"")</f>
        <v/>
      </c>
      <c r="N31" s="44"/>
      <c r="O31" s="44"/>
      <c r="P31" s="44"/>
    </row>
    <row r="32" customFormat="false" ht="15" hidden="false" customHeight="false" outlineLevel="0" collapsed="false">
      <c r="A32" s="45" t="n">
        <v>2026</v>
      </c>
      <c r="B32" s="29" t="s">
        <v>63</v>
      </c>
      <c r="C32" s="29" t="s">
        <v>54</v>
      </c>
      <c r="D32" s="29" t="s">
        <v>80</v>
      </c>
      <c r="E32" s="47" t="n">
        <f aca="false">IFERROR(SUMIFS(INDEX(本週_2026!$D$2:$Z$300,0,MATCH($C32,本週_2026!$D$1:$Z$1,0)),本週_2026!$A$2:$A$300,"標打",本週_2026!$B$2:$B$300,"All Iscfm",本週_2026!$C$2:$C$300,$B32),0)</f>
        <v>3931.3</v>
      </c>
      <c r="F32" s="47" t="n">
        <f aca="false">IFERROR(SUMIFS(INDEX(前期_2026!$D$2:$Z$300,0,MATCH($C32,前期_2026!$D$1:$Z$1,0)),前期_2026!$A$2:$A$300,"標打",前期_2026!$B$2:$B$300,"All Iscfm",前期_2026!$C$2:$C$300,$B32),0)</f>
        <v>3931.3</v>
      </c>
      <c r="G32" s="47" t="n">
        <f aca="false">E32-F32</f>
        <v>0</v>
      </c>
      <c r="H32" s="48" t="n">
        <f aca="false">IF(F32=0,"",G32/F32)</f>
        <v>0</v>
      </c>
      <c r="I32" s="49" t="n">
        <f aca="false">IFERROR(SUMIFS(INDEX(本週_2026!$D$2:$Z$300,0,MATCH($C32,本週_2026!$D$1:$Z$1,0)),本週_2026!$A$2:$A$300,"NET_CMT_標打_成改後",本週_2026!$B$2:$B$300,"All Iscfm",本週_2026!$C$2:$C$300,$B32),0)</f>
        <v>20.77</v>
      </c>
      <c r="J32" s="49" t="n">
        <f aca="false">IFERROR(SUMIFS(INDEX(前期_2026!$D$2:$Z$300,0,MATCH($C32,前期_2026!$D$1:$Z$1,0)),前期_2026!$A$2:$A$300,"NET_CMT_標打_成改後",前期_2026!$B$2:$B$300,"All Iscfm",前期_2026!$C$2:$C$300,$B32),0)</f>
        <v>20.77</v>
      </c>
      <c r="K32" s="50" t="n">
        <f aca="false">I32-J32</f>
        <v>0</v>
      </c>
      <c r="L32" s="29" t="str">
        <f aca="false">IF($B32="All Program","",IF(OR(ABS(G32)&gt;=說明!$C$7,ABS(K32)&gt;=說明!$C$8),"需說明",""))</f>
        <v/>
      </c>
      <c r="M32" s="29" t="str">
        <f aca="false">IF(L32="需說明",COUNTIF($L$5:L32,"需說明"),"")</f>
        <v/>
      </c>
      <c r="N32" s="44"/>
      <c r="O32" s="44"/>
      <c r="P32" s="44"/>
    </row>
    <row r="33" customFormat="false" ht="15" hidden="false" customHeight="false" outlineLevel="0" collapsed="false">
      <c r="A33" s="45" t="n">
        <v>2026</v>
      </c>
      <c r="B33" s="29" t="s">
        <v>63</v>
      </c>
      <c r="C33" s="29" t="s">
        <v>55</v>
      </c>
      <c r="D33" s="29" t="s">
        <v>81</v>
      </c>
      <c r="E33" s="47" t="n">
        <f aca="false">IFERROR(SUMIFS(INDEX(本週_2026!$D$2:$Z$300,0,MATCH($C33,本週_2026!$D$1:$Z$1,0)),本週_2026!$A$2:$A$300,"標打",本週_2026!$B$2:$B$300,"All Iscfm",本週_2026!$C$2:$C$300,$B33),0)</f>
        <v>5155.3</v>
      </c>
      <c r="F33" s="47" t="n">
        <f aca="false">IFERROR(SUMIFS(INDEX(前期_2026!$D$2:$Z$300,0,MATCH($C33,前期_2026!$D$1:$Z$1,0)),前期_2026!$A$2:$A$300,"標打",前期_2026!$B$2:$B$300,"All Iscfm",前期_2026!$C$2:$C$300,$B33),0)</f>
        <v>5155.3</v>
      </c>
      <c r="G33" s="47" t="n">
        <f aca="false">E33-F33</f>
        <v>0</v>
      </c>
      <c r="H33" s="48" t="n">
        <f aca="false">IF(F33=0,"",G33/F33)</f>
        <v>0</v>
      </c>
      <c r="I33" s="49" t="n">
        <f aca="false">IFERROR(SUMIFS(INDEX(本週_2026!$D$2:$Z$300,0,MATCH($C33,本週_2026!$D$1:$Z$1,0)),本週_2026!$A$2:$A$300,"NET_CMT_標打_成改後",本週_2026!$B$2:$B$300,"All Iscfm",本週_2026!$C$2:$C$300,$B33),0)</f>
        <v>20.31</v>
      </c>
      <c r="J33" s="49" t="n">
        <f aca="false">IFERROR(SUMIFS(INDEX(前期_2026!$D$2:$Z$300,0,MATCH($C33,前期_2026!$D$1:$Z$1,0)),前期_2026!$A$2:$A$300,"NET_CMT_標打_成改後",前期_2026!$B$2:$B$300,"All Iscfm",前期_2026!$C$2:$C$300,$B33),0)</f>
        <v>20.31</v>
      </c>
      <c r="K33" s="50" t="n">
        <f aca="false">I33-J33</f>
        <v>0</v>
      </c>
      <c r="L33" s="29" t="str">
        <f aca="false">IF($B33="All Program","",IF(OR(ABS(G33)&gt;=說明!$C$7,ABS(K33)&gt;=說明!$C$8),"需說明",""))</f>
        <v/>
      </c>
      <c r="M33" s="29" t="str">
        <f aca="false">IF(L33="需說明",COUNTIF($L$5:L33,"需說明"),"")</f>
        <v/>
      </c>
      <c r="N33" s="44"/>
      <c r="O33" s="44"/>
      <c r="P33" s="44"/>
    </row>
    <row r="34" customFormat="false" ht="15" hidden="false" customHeight="false" outlineLevel="0" collapsed="false">
      <c r="A34" s="45" t="n">
        <v>2026</v>
      </c>
      <c r="B34" s="29" t="s">
        <v>63</v>
      </c>
      <c r="C34" s="29" t="s">
        <v>56</v>
      </c>
      <c r="D34" s="29" t="s">
        <v>82</v>
      </c>
      <c r="E34" s="47" t="n">
        <f aca="false">IFERROR(SUMIFS(INDEX(本週_2026!$D$2:$Z$300,0,MATCH($C34,本週_2026!$D$1:$Z$1,0)),本週_2026!$A$2:$A$300,"標打",本週_2026!$B$2:$B$300,"All Iscfm",本週_2026!$C$2:$C$300,$B34),0)</f>
        <v>5633.3</v>
      </c>
      <c r="F34" s="47" t="n">
        <f aca="false">IFERROR(SUMIFS(INDEX(前期_2026!$D$2:$Z$300,0,MATCH($C34,前期_2026!$D$1:$Z$1,0)),前期_2026!$A$2:$A$300,"標打",前期_2026!$B$2:$B$300,"All Iscfm",前期_2026!$C$2:$C$300,$B34),0)</f>
        <v>5633.3</v>
      </c>
      <c r="G34" s="47" t="n">
        <f aca="false">E34-F34</f>
        <v>0</v>
      </c>
      <c r="H34" s="48" t="n">
        <f aca="false">IF(F34=0,"",G34/F34)</f>
        <v>0</v>
      </c>
      <c r="I34" s="49" t="n">
        <f aca="false">IFERROR(SUMIFS(INDEX(本週_2026!$D$2:$Z$300,0,MATCH($C34,本週_2026!$D$1:$Z$1,0)),本週_2026!$A$2:$A$300,"NET_CMT_標打_成改後",本週_2026!$B$2:$B$300,"All Iscfm",本週_2026!$C$2:$C$300,$B34),0)</f>
        <v>20.06</v>
      </c>
      <c r="J34" s="49" t="n">
        <f aca="false">IFERROR(SUMIFS(INDEX(前期_2026!$D$2:$Z$300,0,MATCH($C34,前期_2026!$D$1:$Z$1,0)),前期_2026!$A$2:$A$300,"NET_CMT_標打_成改後",前期_2026!$B$2:$B$300,"All Iscfm",前期_2026!$C$2:$C$300,$B34),0)</f>
        <v>20.06</v>
      </c>
      <c r="K34" s="50" t="n">
        <f aca="false">I34-J34</f>
        <v>0</v>
      </c>
      <c r="L34" s="29" t="str">
        <f aca="false">IF($B34="All Program","",IF(OR(ABS(G34)&gt;=說明!$C$7,ABS(K34)&gt;=說明!$C$8),"需說明",""))</f>
        <v/>
      </c>
      <c r="M34" s="29" t="str">
        <f aca="false">IF(L34="需說明",COUNTIF($L$5:L34,"需說明"),"")</f>
        <v/>
      </c>
      <c r="N34" s="44"/>
      <c r="O34" s="44"/>
      <c r="P34" s="44"/>
    </row>
    <row r="35" customFormat="false" ht="15" hidden="false" customHeight="false" outlineLevel="0" collapsed="false">
      <c r="A35" s="45" t="n">
        <v>2026</v>
      </c>
      <c r="B35" s="29" t="s">
        <v>64</v>
      </c>
      <c r="C35" s="29" t="n">
        <v>2026</v>
      </c>
      <c r="D35" s="46" t="s">
        <v>78</v>
      </c>
      <c r="E35" s="47" t="n">
        <f aca="false">IFERROR(SUMIFS(INDEX(本週_2026!$D$2:$Z$300,0,MATCH($C35,本週_2026!$D$1:$Z$1,0)),本週_2026!$A$2:$A$300,"標打",本週_2026!$B$2:$B$300,"All Iscfm",本週_2026!$C$2:$C$300,$B35),0)</f>
        <v>162693.9</v>
      </c>
      <c r="F35" s="47" t="n">
        <f aca="false">IFERROR(SUMIFS(INDEX(前期_2026!$D$2:$Z$300,0,MATCH($C35,前期_2026!$D$1:$Z$1,0)),前期_2026!$A$2:$A$300,"標打",前期_2026!$B$2:$B$300,"All Iscfm",前期_2026!$C$2:$C$300,$B35),0)</f>
        <v>162693.9</v>
      </c>
      <c r="G35" s="47" t="n">
        <f aca="false">E35-F35</f>
        <v>0</v>
      </c>
      <c r="H35" s="48" t="n">
        <f aca="false">IF(F35=0,"",G35/F35)</f>
        <v>0</v>
      </c>
      <c r="I35" s="49" t="n">
        <f aca="false">IFERROR(SUMIFS(INDEX(本週_2026!$D$2:$Z$300,0,MATCH($C35,本週_2026!$D$1:$Z$1,0)),本週_2026!$A$2:$A$300,"NET_CMT_標打_成改後",本週_2026!$B$2:$B$300,"All Iscfm",本週_2026!$C$2:$C$300,$B35),0)</f>
        <v>17.29</v>
      </c>
      <c r="J35" s="49" t="n">
        <f aca="false">IFERROR(SUMIFS(INDEX(前期_2026!$D$2:$Z$300,0,MATCH($C35,前期_2026!$D$1:$Z$1,0)),前期_2026!$A$2:$A$300,"NET_CMT_標打_成改後",前期_2026!$B$2:$B$300,"All Iscfm",前期_2026!$C$2:$C$300,$B35),0)</f>
        <v>17.29</v>
      </c>
      <c r="K35" s="50" t="n">
        <f aca="false">I35-J35</f>
        <v>0</v>
      </c>
      <c r="L35" s="29" t="str">
        <f aca="false">IF($B35="All Program","",IF(OR(ABS(G35)&gt;=說明!$C$7,ABS(K35)&gt;=說明!$C$8),"需說明",""))</f>
        <v/>
      </c>
      <c r="M35" s="29" t="str">
        <f aca="false">IF(L35="需說明",COUNTIF($L$5:L35,"需說明"),"")</f>
        <v/>
      </c>
      <c r="N35" s="44"/>
      <c r="O35" s="44"/>
      <c r="P35" s="44"/>
    </row>
    <row r="36" customFormat="false" ht="15" hidden="false" customHeight="false" outlineLevel="0" collapsed="false">
      <c r="A36" s="45" t="n">
        <v>2026</v>
      </c>
      <c r="B36" s="29" t="s">
        <v>64</v>
      </c>
      <c r="C36" s="29" t="s">
        <v>53</v>
      </c>
      <c r="D36" s="29" t="s">
        <v>79</v>
      </c>
      <c r="E36" s="47" t="n">
        <f aca="false">IFERROR(SUMIFS(INDEX(本週_2026!$D$2:$Z$300,0,MATCH($C36,本週_2026!$D$1:$Z$1,0)),本週_2026!$A$2:$A$300,"標打",本週_2026!$B$2:$B$300,"All Iscfm",本週_2026!$C$2:$C$300,$B36),0)</f>
        <v>15789.4</v>
      </c>
      <c r="F36" s="47" t="n">
        <f aca="false">IFERROR(SUMIFS(INDEX(前期_2026!$D$2:$Z$300,0,MATCH($C36,前期_2026!$D$1:$Z$1,0)),前期_2026!$A$2:$A$300,"標打",前期_2026!$B$2:$B$300,"All Iscfm",前期_2026!$C$2:$C$300,$B36),0)</f>
        <v>15789.4</v>
      </c>
      <c r="G36" s="47" t="n">
        <f aca="false">E36-F36</f>
        <v>0</v>
      </c>
      <c r="H36" s="48" t="n">
        <f aca="false">IF(F36=0,"",G36/F36)</f>
        <v>0</v>
      </c>
      <c r="I36" s="49" t="n">
        <f aca="false">IFERROR(SUMIFS(INDEX(本週_2026!$D$2:$Z$300,0,MATCH($C36,本週_2026!$D$1:$Z$1,0)),本週_2026!$A$2:$A$300,"NET_CMT_標打_成改後",本週_2026!$B$2:$B$300,"All Iscfm",本週_2026!$C$2:$C$300,$B36),0)</f>
        <v>18.26</v>
      </c>
      <c r="J36" s="49" t="n">
        <f aca="false">IFERROR(SUMIFS(INDEX(前期_2026!$D$2:$Z$300,0,MATCH($C36,前期_2026!$D$1:$Z$1,0)),前期_2026!$A$2:$A$300,"NET_CMT_標打_成改後",前期_2026!$B$2:$B$300,"All Iscfm",前期_2026!$C$2:$C$300,$B36),0)</f>
        <v>18.26</v>
      </c>
      <c r="K36" s="50" t="n">
        <f aca="false">I36-J36</f>
        <v>0</v>
      </c>
      <c r="L36" s="29" t="str">
        <f aca="false">IF($B36="All Program","",IF(OR(ABS(G36)&gt;=說明!$C$7,ABS(K36)&gt;=說明!$C$8),"需說明",""))</f>
        <v/>
      </c>
      <c r="M36" s="29" t="str">
        <f aca="false">IF(L36="需說明",COUNTIF($L$5:L36,"需說明"),"")</f>
        <v/>
      </c>
      <c r="N36" s="44"/>
      <c r="O36" s="44"/>
      <c r="P36" s="44"/>
    </row>
    <row r="37" customFormat="false" ht="15" hidden="false" customHeight="false" outlineLevel="0" collapsed="false">
      <c r="A37" s="45" t="n">
        <v>2026</v>
      </c>
      <c r="B37" s="29" t="s">
        <v>64</v>
      </c>
      <c r="C37" s="29" t="s">
        <v>54</v>
      </c>
      <c r="D37" s="29" t="s">
        <v>80</v>
      </c>
      <c r="E37" s="47" t="n">
        <f aca="false">IFERROR(SUMIFS(INDEX(本週_2026!$D$2:$Z$300,0,MATCH($C37,本週_2026!$D$1:$Z$1,0)),本週_2026!$A$2:$A$300,"標打",本週_2026!$B$2:$B$300,"All Iscfm",本週_2026!$C$2:$C$300,$B37),0)</f>
        <v>34291.3</v>
      </c>
      <c r="F37" s="47" t="n">
        <f aca="false">IFERROR(SUMIFS(INDEX(前期_2026!$D$2:$Z$300,0,MATCH($C37,前期_2026!$D$1:$Z$1,0)),前期_2026!$A$2:$A$300,"標打",前期_2026!$B$2:$B$300,"All Iscfm",前期_2026!$C$2:$C$300,$B37),0)</f>
        <v>34291.3</v>
      </c>
      <c r="G37" s="47" t="n">
        <f aca="false">E37-F37</f>
        <v>0</v>
      </c>
      <c r="H37" s="48" t="n">
        <f aca="false">IF(F37=0,"",G37/F37)</f>
        <v>0</v>
      </c>
      <c r="I37" s="49" t="n">
        <f aca="false">IFERROR(SUMIFS(INDEX(本週_2026!$D$2:$Z$300,0,MATCH($C37,本週_2026!$D$1:$Z$1,0)),本週_2026!$A$2:$A$300,"NET_CMT_標打_成改後",本週_2026!$B$2:$B$300,"All Iscfm",本週_2026!$C$2:$C$300,$B37),0)</f>
        <v>17.66</v>
      </c>
      <c r="J37" s="49" t="n">
        <f aca="false">IFERROR(SUMIFS(INDEX(前期_2026!$D$2:$Z$300,0,MATCH($C37,前期_2026!$D$1:$Z$1,0)),前期_2026!$A$2:$A$300,"NET_CMT_標打_成改後",前期_2026!$B$2:$B$300,"All Iscfm",前期_2026!$C$2:$C$300,$B37),0)</f>
        <v>17.66</v>
      </c>
      <c r="K37" s="50" t="n">
        <f aca="false">I37-J37</f>
        <v>0</v>
      </c>
      <c r="L37" s="29" t="str">
        <f aca="false">IF($B37="All Program","",IF(OR(ABS(G37)&gt;=說明!$C$7,ABS(K37)&gt;=說明!$C$8),"需說明",""))</f>
        <v/>
      </c>
      <c r="M37" s="29" t="str">
        <f aca="false">IF(L37="需說明",COUNTIF($L$5:L37,"需說明"),"")</f>
        <v/>
      </c>
      <c r="N37" s="44"/>
      <c r="O37" s="44"/>
      <c r="P37" s="44"/>
    </row>
    <row r="38" customFormat="false" ht="15" hidden="false" customHeight="false" outlineLevel="0" collapsed="false">
      <c r="A38" s="45" t="n">
        <v>2026</v>
      </c>
      <c r="B38" s="29" t="s">
        <v>64</v>
      </c>
      <c r="C38" s="29" t="s">
        <v>55</v>
      </c>
      <c r="D38" s="29" t="s">
        <v>81</v>
      </c>
      <c r="E38" s="47" t="n">
        <f aca="false">IFERROR(SUMIFS(INDEX(本週_2026!$D$2:$Z$300,0,MATCH($C38,本週_2026!$D$1:$Z$1,0)),本週_2026!$A$2:$A$300,"標打",本週_2026!$B$2:$B$300,"All Iscfm",本週_2026!$C$2:$C$300,$B38),0)</f>
        <v>51757.4</v>
      </c>
      <c r="F38" s="47" t="n">
        <f aca="false">IFERROR(SUMIFS(INDEX(前期_2026!$D$2:$Z$300,0,MATCH($C38,前期_2026!$D$1:$Z$1,0)),前期_2026!$A$2:$A$300,"標打",前期_2026!$B$2:$B$300,"All Iscfm",前期_2026!$C$2:$C$300,$B38),0)</f>
        <v>51757.4</v>
      </c>
      <c r="G38" s="47" t="n">
        <f aca="false">E38-F38</f>
        <v>0</v>
      </c>
      <c r="H38" s="48" t="n">
        <f aca="false">IF(F38=0,"",G38/F38)</f>
        <v>0</v>
      </c>
      <c r="I38" s="49" t="n">
        <f aca="false">IFERROR(SUMIFS(INDEX(本週_2026!$D$2:$Z$300,0,MATCH($C38,本週_2026!$D$1:$Z$1,0)),本週_2026!$A$2:$A$300,"NET_CMT_標打_成改後",本週_2026!$B$2:$B$300,"All Iscfm",本週_2026!$C$2:$C$300,$B38),0)</f>
        <v>16.93</v>
      </c>
      <c r="J38" s="49" t="n">
        <f aca="false">IFERROR(SUMIFS(INDEX(前期_2026!$D$2:$Z$300,0,MATCH($C38,前期_2026!$D$1:$Z$1,0)),前期_2026!$A$2:$A$300,"NET_CMT_標打_成改後",前期_2026!$B$2:$B$300,"All Iscfm",前期_2026!$C$2:$C$300,$B38),0)</f>
        <v>16.93</v>
      </c>
      <c r="K38" s="50" t="n">
        <f aca="false">I38-J38</f>
        <v>0</v>
      </c>
      <c r="L38" s="29" t="str">
        <f aca="false">IF($B38="All Program","",IF(OR(ABS(G38)&gt;=說明!$C$7,ABS(K38)&gt;=說明!$C$8),"需說明",""))</f>
        <v/>
      </c>
      <c r="M38" s="29" t="str">
        <f aca="false">IF(L38="需說明",COUNTIF($L$5:L38,"需說明"),"")</f>
        <v/>
      </c>
      <c r="N38" s="44"/>
      <c r="O38" s="44"/>
      <c r="P38" s="44"/>
    </row>
    <row r="39" customFormat="false" ht="15" hidden="false" customHeight="false" outlineLevel="0" collapsed="false">
      <c r="A39" s="45" t="n">
        <v>2026</v>
      </c>
      <c r="B39" s="29" t="s">
        <v>64</v>
      </c>
      <c r="C39" s="29" t="s">
        <v>56</v>
      </c>
      <c r="D39" s="29" t="s">
        <v>82</v>
      </c>
      <c r="E39" s="47" t="n">
        <f aca="false">IFERROR(SUMIFS(INDEX(本週_2026!$D$2:$Z$300,0,MATCH($C39,本週_2026!$D$1:$Z$1,0)),本週_2026!$A$2:$A$300,"標打",本週_2026!$B$2:$B$300,"All Iscfm",本週_2026!$C$2:$C$300,$B39),0)</f>
        <v>60855.8</v>
      </c>
      <c r="F39" s="47" t="n">
        <f aca="false">IFERROR(SUMIFS(INDEX(前期_2026!$D$2:$Z$300,0,MATCH($C39,前期_2026!$D$1:$Z$1,0)),前期_2026!$A$2:$A$300,"標打",前期_2026!$B$2:$B$300,"All Iscfm",前期_2026!$C$2:$C$300,$B39),0)</f>
        <v>60855.8</v>
      </c>
      <c r="G39" s="47" t="n">
        <f aca="false">E39-F39</f>
        <v>0</v>
      </c>
      <c r="H39" s="48" t="n">
        <f aca="false">IF(F39=0,"",G39/F39)</f>
        <v>0</v>
      </c>
      <c r="I39" s="49" t="n">
        <f aca="false">IFERROR(SUMIFS(INDEX(本週_2026!$D$2:$Z$300,0,MATCH($C39,本週_2026!$D$1:$Z$1,0)),本週_2026!$A$2:$A$300,"NET_CMT_標打_成改後",本週_2026!$B$2:$B$300,"All Iscfm",本週_2026!$C$2:$C$300,$B39),0)</f>
        <v>17.15</v>
      </c>
      <c r="J39" s="49" t="n">
        <f aca="false">IFERROR(SUMIFS(INDEX(前期_2026!$D$2:$Z$300,0,MATCH($C39,前期_2026!$D$1:$Z$1,0)),前期_2026!$A$2:$A$300,"NET_CMT_標打_成改後",前期_2026!$B$2:$B$300,"All Iscfm",前期_2026!$C$2:$C$300,$B39),0)</f>
        <v>17.15</v>
      </c>
      <c r="K39" s="50" t="n">
        <f aca="false">I39-J39</f>
        <v>0</v>
      </c>
      <c r="L39" s="29" t="str">
        <f aca="false">IF($B39="All Program","",IF(OR(ABS(G39)&gt;=說明!$C$7,ABS(K39)&gt;=說明!$C$8),"需說明",""))</f>
        <v/>
      </c>
      <c r="M39" s="29" t="str">
        <f aca="false">IF(L39="需說明",COUNTIF($L$5:L39,"需說明"),"")</f>
        <v/>
      </c>
      <c r="N39" s="44"/>
      <c r="O39" s="44"/>
      <c r="P39" s="44"/>
    </row>
    <row r="40" customFormat="false" ht="15" hidden="false" customHeight="false" outlineLevel="0" collapsed="false">
      <c r="A40" s="38" t="n">
        <v>2027</v>
      </c>
      <c r="B40" s="39" t="s">
        <v>77</v>
      </c>
      <c r="C40" s="25" t="n">
        <v>2027</v>
      </c>
      <c r="D40" s="25" t="s">
        <v>78</v>
      </c>
      <c r="E40" s="40" t="n">
        <f aca="false">IFERROR(SUMIFS(INDEX(本週_2027!$D$2:$Z$300,0,MATCH($C40,本週_2027!$D$1:$Z$1,0)),本週_2027!$A$2:$A$300,"標打",本週_2027!$B$2:$B$300,"All Iscfm",本週_2027!$C$2:$C$300,$B40),0)</f>
        <v>884101.9</v>
      </c>
      <c r="F40" s="40" t="n">
        <f aca="false">IFERROR(SUMIFS(INDEX(前期_2027!$D$2:$Z$300,0,MATCH($C40,前期_2027!$D$1:$Z$1,0)),前期_2027!$A$2:$A$300,"標打",前期_2027!$B$2:$B$300,"All Iscfm",前期_2027!$C$2:$C$300,$B40),0)</f>
        <v>884101.9</v>
      </c>
      <c r="G40" s="40" t="n">
        <f aca="false">E40-F40</f>
        <v>0</v>
      </c>
      <c r="H40" s="41" t="n">
        <f aca="false">IF(F40=0,"",G40/F40)</f>
        <v>0</v>
      </c>
      <c r="I40" s="42" t="n">
        <f aca="false">IFERROR(SUMIFS(INDEX(本週_2027!$D$2:$Z$300,0,MATCH($C40,本週_2027!$D$1:$Z$1,0)),本週_2027!$A$2:$A$300,"NET_CMT_標打_成改後",本週_2027!$B$2:$B$300,"All Iscfm",本週_2027!$C$2:$C$300,$B40),0)</f>
        <v>18.75</v>
      </c>
      <c r="J40" s="42" t="n">
        <f aca="false">IFERROR(SUMIFS(INDEX(前期_2027!$D$2:$Z$300,0,MATCH($C40,前期_2027!$D$1:$Z$1,0)),前期_2027!$A$2:$A$300,"NET_CMT_標打_成改後",前期_2027!$B$2:$B$300,"All Iscfm",前期_2027!$C$2:$C$300,$B40),0)</f>
        <v>18.75</v>
      </c>
      <c r="K40" s="43" t="n">
        <f aca="false">I40-J40</f>
        <v>0</v>
      </c>
      <c r="L40" s="25" t="str">
        <f aca="false">IF($B40="All Program","",IF(OR(ABS(G40)&gt;=說明!$C$7,ABS(K40)&gt;=說明!$C$8),"需說明",""))</f>
        <v/>
      </c>
      <c r="M40" s="25" t="str">
        <f aca="false">IF(L40="需說明",COUNTIF($L$5:L40,"需說明"),"")</f>
        <v/>
      </c>
      <c r="N40" s="44"/>
      <c r="O40" s="44"/>
      <c r="P40" s="44"/>
    </row>
    <row r="41" customFormat="false" ht="15" hidden="false" customHeight="false" outlineLevel="0" collapsed="false">
      <c r="A41" s="38" t="n">
        <v>2027</v>
      </c>
      <c r="B41" s="39" t="s">
        <v>77</v>
      </c>
      <c r="C41" s="39" t="s">
        <v>66</v>
      </c>
      <c r="D41" s="39" t="s">
        <v>79</v>
      </c>
      <c r="E41" s="40" t="n">
        <f aca="false">IFERROR(SUMIFS(INDEX(本週_2027!$D$2:$Z$300,0,MATCH($C41,本週_2027!$D$1:$Z$1,0)),本週_2027!$A$2:$A$300,"標打",本週_2027!$B$2:$B$300,"All Iscfm",本週_2027!$C$2:$C$300,$B41),0)</f>
        <v>180615.5</v>
      </c>
      <c r="F41" s="40" t="n">
        <f aca="false">IFERROR(SUMIFS(INDEX(前期_2027!$D$2:$Z$300,0,MATCH($C41,前期_2027!$D$1:$Z$1,0)),前期_2027!$A$2:$A$300,"標打",前期_2027!$B$2:$B$300,"All Iscfm",前期_2027!$C$2:$C$300,$B41),0)</f>
        <v>180615.5</v>
      </c>
      <c r="G41" s="40" t="n">
        <f aca="false">E41-F41</f>
        <v>0</v>
      </c>
      <c r="H41" s="41" t="n">
        <f aca="false">IF(F41=0,"",G41/F41)</f>
        <v>0</v>
      </c>
      <c r="I41" s="42" t="n">
        <f aca="false">IFERROR(SUMIFS(INDEX(本週_2027!$D$2:$Z$300,0,MATCH($C41,本週_2027!$D$1:$Z$1,0)),本週_2027!$A$2:$A$300,"NET_CMT_標打_成改後",本週_2027!$B$2:$B$300,"All Iscfm",本週_2027!$C$2:$C$300,$B41),0)</f>
        <v>18.73</v>
      </c>
      <c r="J41" s="42" t="n">
        <f aca="false">IFERROR(SUMIFS(INDEX(前期_2027!$D$2:$Z$300,0,MATCH($C41,前期_2027!$D$1:$Z$1,0)),前期_2027!$A$2:$A$300,"NET_CMT_標打_成改後",前期_2027!$B$2:$B$300,"All Iscfm",前期_2027!$C$2:$C$300,$B41),0)</f>
        <v>18.73</v>
      </c>
      <c r="K41" s="43" t="n">
        <f aca="false">I41-J41</f>
        <v>0</v>
      </c>
      <c r="L41" s="25" t="str">
        <f aca="false">IF($B41="All Program","",IF(OR(ABS(G41)&gt;=說明!$C$7,ABS(K41)&gt;=說明!$C$8),"需說明",""))</f>
        <v/>
      </c>
      <c r="M41" s="25" t="str">
        <f aca="false">IF(L41="需說明",COUNTIF($L$5:L41,"需說明"),"")</f>
        <v/>
      </c>
      <c r="N41" s="44"/>
      <c r="O41" s="44"/>
      <c r="P41" s="44"/>
    </row>
    <row r="42" customFormat="false" ht="15" hidden="false" customHeight="false" outlineLevel="0" collapsed="false">
      <c r="A42" s="38" t="n">
        <v>2027</v>
      </c>
      <c r="B42" s="39" t="s">
        <v>77</v>
      </c>
      <c r="C42" s="39" t="s">
        <v>67</v>
      </c>
      <c r="D42" s="39" t="s">
        <v>80</v>
      </c>
      <c r="E42" s="40" t="n">
        <f aca="false">IFERROR(SUMIFS(INDEX(本週_2027!$D$2:$Z$300,0,MATCH($C42,本週_2027!$D$1:$Z$1,0)),本週_2027!$A$2:$A$300,"標打",本週_2027!$B$2:$B$300,"All Iscfm",本週_2027!$C$2:$C$300,$B42),0)</f>
        <v>214719.1</v>
      </c>
      <c r="F42" s="40" t="n">
        <f aca="false">IFERROR(SUMIFS(INDEX(前期_2027!$D$2:$Z$300,0,MATCH($C42,前期_2027!$D$1:$Z$1,0)),前期_2027!$A$2:$A$300,"標打",前期_2027!$B$2:$B$300,"All Iscfm",前期_2027!$C$2:$C$300,$B42),0)</f>
        <v>214719.1</v>
      </c>
      <c r="G42" s="40" t="n">
        <f aca="false">E42-F42</f>
        <v>0</v>
      </c>
      <c r="H42" s="41" t="n">
        <f aca="false">IF(F42=0,"",G42/F42)</f>
        <v>0</v>
      </c>
      <c r="I42" s="42" t="n">
        <f aca="false">IFERROR(SUMIFS(INDEX(本週_2027!$D$2:$Z$300,0,MATCH($C42,本週_2027!$D$1:$Z$1,0)),本週_2027!$A$2:$A$300,"NET_CMT_標打_成改後",本週_2027!$B$2:$B$300,"All Iscfm",本週_2027!$C$2:$C$300,$B42),0)</f>
        <v>18.75</v>
      </c>
      <c r="J42" s="42" t="n">
        <f aca="false">IFERROR(SUMIFS(INDEX(前期_2027!$D$2:$Z$300,0,MATCH($C42,前期_2027!$D$1:$Z$1,0)),前期_2027!$A$2:$A$300,"NET_CMT_標打_成改後",前期_2027!$B$2:$B$300,"All Iscfm",前期_2027!$C$2:$C$300,$B42),0)</f>
        <v>18.75</v>
      </c>
      <c r="K42" s="43" t="n">
        <f aca="false">I42-J42</f>
        <v>0</v>
      </c>
      <c r="L42" s="25" t="str">
        <f aca="false">IF($B42="All Program","",IF(OR(ABS(G42)&gt;=說明!$C$7,ABS(K42)&gt;=說明!$C$8),"需說明",""))</f>
        <v/>
      </c>
      <c r="M42" s="25" t="str">
        <f aca="false">IF(L42="需說明",COUNTIF($L$5:L42,"需說明"),"")</f>
        <v/>
      </c>
      <c r="N42" s="44"/>
      <c r="O42" s="44"/>
      <c r="P42" s="44"/>
    </row>
    <row r="43" customFormat="false" ht="15" hidden="false" customHeight="false" outlineLevel="0" collapsed="false">
      <c r="A43" s="38" t="n">
        <v>2027</v>
      </c>
      <c r="B43" s="39" t="s">
        <v>77</v>
      </c>
      <c r="C43" s="39" t="s">
        <v>68</v>
      </c>
      <c r="D43" s="39" t="s">
        <v>81</v>
      </c>
      <c r="E43" s="40" t="n">
        <f aca="false">IFERROR(SUMIFS(INDEX(本週_2027!$D$2:$Z$300,0,MATCH($C43,本週_2027!$D$1:$Z$1,0)),本週_2027!$A$2:$A$300,"標打",本週_2027!$B$2:$B$300,"All Iscfm",本週_2027!$C$2:$C$300,$B43),0)</f>
        <v>242467.1</v>
      </c>
      <c r="F43" s="40" t="n">
        <f aca="false">IFERROR(SUMIFS(INDEX(前期_2027!$D$2:$Z$300,0,MATCH($C43,前期_2027!$D$1:$Z$1,0)),前期_2027!$A$2:$A$300,"標打",前期_2027!$B$2:$B$300,"All Iscfm",前期_2027!$C$2:$C$300,$B43),0)</f>
        <v>242467.1</v>
      </c>
      <c r="G43" s="40" t="n">
        <f aca="false">E43-F43</f>
        <v>0</v>
      </c>
      <c r="H43" s="41" t="n">
        <f aca="false">IF(F43=0,"",G43/F43)</f>
        <v>0</v>
      </c>
      <c r="I43" s="42" t="n">
        <f aca="false">IFERROR(SUMIFS(INDEX(本週_2027!$D$2:$Z$300,0,MATCH($C43,本週_2027!$D$1:$Z$1,0)),本週_2027!$A$2:$A$300,"NET_CMT_標打_成改後",本週_2027!$B$2:$B$300,"All Iscfm",本週_2027!$C$2:$C$300,$B43),0)</f>
        <v>18.8</v>
      </c>
      <c r="J43" s="42" t="n">
        <f aca="false">IFERROR(SUMIFS(INDEX(前期_2027!$D$2:$Z$300,0,MATCH($C43,前期_2027!$D$1:$Z$1,0)),前期_2027!$A$2:$A$300,"NET_CMT_標打_成改後",前期_2027!$B$2:$B$300,"All Iscfm",前期_2027!$C$2:$C$300,$B43),0)</f>
        <v>18.8</v>
      </c>
      <c r="K43" s="43" t="n">
        <f aca="false">I43-J43</f>
        <v>0</v>
      </c>
      <c r="L43" s="25" t="str">
        <f aca="false">IF($B43="All Program","",IF(OR(ABS(G43)&gt;=說明!$C$7,ABS(K43)&gt;=說明!$C$8),"需說明",""))</f>
        <v/>
      </c>
      <c r="M43" s="25" t="str">
        <f aca="false">IF(L43="需說明",COUNTIF($L$5:L43,"需說明"),"")</f>
        <v/>
      </c>
      <c r="N43" s="44"/>
      <c r="O43" s="44"/>
      <c r="P43" s="44"/>
    </row>
    <row r="44" customFormat="false" ht="15" hidden="false" customHeight="false" outlineLevel="0" collapsed="false">
      <c r="A44" s="38" t="n">
        <v>2027</v>
      </c>
      <c r="B44" s="39" t="s">
        <v>77</v>
      </c>
      <c r="C44" s="39" t="s">
        <v>69</v>
      </c>
      <c r="D44" s="39" t="s">
        <v>82</v>
      </c>
      <c r="E44" s="40" t="n">
        <f aca="false">IFERROR(SUMIFS(INDEX(本週_2027!$D$2:$Z$300,0,MATCH($C44,本週_2027!$D$1:$Z$1,0)),本週_2027!$A$2:$A$300,"標打",本週_2027!$B$2:$B$300,"All Iscfm",本週_2027!$C$2:$C$300,$B44),0)</f>
        <v>246300.1</v>
      </c>
      <c r="F44" s="40" t="n">
        <f aca="false">IFERROR(SUMIFS(INDEX(前期_2027!$D$2:$Z$300,0,MATCH($C44,前期_2027!$D$1:$Z$1,0)),前期_2027!$A$2:$A$300,"標打",前期_2027!$B$2:$B$300,"All Iscfm",前期_2027!$C$2:$C$300,$B44),0)</f>
        <v>246300.1</v>
      </c>
      <c r="G44" s="40" t="n">
        <f aca="false">E44-F44</f>
        <v>0</v>
      </c>
      <c r="H44" s="41" t="n">
        <f aca="false">IF(F44=0,"",G44/F44)</f>
        <v>0</v>
      </c>
      <c r="I44" s="42" t="n">
        <f aca="false">IFERROR(SUMIFS(INDEX(本週_2027!$D$2:$Z$300,0,MATCH($C44,本週_2027!$D$1:$Z$1,0)),本週_2027!$A$2:$A$300,"NET_CMT_標打_成改後",本週_2027!$B$2:$B$300,"All Iscfm",本週_2027!$C$2:$C$300,$B44),0)</f>
        <v>18.71</v>
      </c>
      <c r="J44" s="42" t="n">
        <f aca="false">IFERROR(SUMIFS(INDEX(前期_2027!$D$2:$Z$300,0,MATCH($C44,前期_2027!$D$1:$Z$1,0)),前期_2027!$A$2:$A$300,"NET_CMT_標打_成改後",前期_2027!$B$2:$B$300,"All Iscfm",前期_2027!$C$2:$C$300,$B44),0)</f>
        <v>18.71</v>
      </c>
      <c r="K44" s="43" t="n">
        <f aca="false">I44-J44</f>
        <v>0</v>
      </c>
      <c r="L44" s="25" t="str">
        <f aca="false">IF($B44="All Program","",IF(OR(ABS(G44)&gt;=說明!$C$7,ABS(K44)&gt;=說明!$C$8),"需說明",""))</f>
        <v/>
      </c>
      <c r="M44" s="25" t="str">
        <f aca="false">IF(L44="需說明",COUNTIF($L$5:L44,"需說明"),"")</f>
        <v/>
      </c>
      <c r="N44" s="44"/>
      <c r="O44" s="44"/>
      <c r="P44" s="44"/>
    </row>
    <row r="45" customFormat="false" ht="15" hidden="false" customHeight="false" outlineLevel="0" collapsed="false">
      <c r="A45" s="45" t="n">
        <v>2027</v>
      </c>
      <c r="B45" s="29" t="s">
        <v>60</v>
      </c>
      <c r="C45" s="29" t="n">
        <v>2027</v>
      </c>
      <c r="D45" s="46" t="s">
        <v>78</v>
      </c>
      <c r="E45" s="47" t="n">
        <f aca="false">IFERROR(SUMIFS(INDEX(本週_2027!$D$2:$Z$300,0,MATCH($C45,本週_2027!$D$1:$Z$1,0)),本週_2027!$A$2:$A$300,"標打",本週_2027!$B$2:$B$300,"All Iscfm",本週_2027!$C$2:$C$300,$B45),0)</f>
        <v>67793.1</v>
      </c>
      <c r="F45" s="47" t="n">
        <f aca="false">IFERROR(SUMIFS(INDEX(前期_2027!$D$2:$Z$300,0,MATCH($C45,前期_2027!$D$1:$Z$1,0)),前期_2027!$A$2:$A$300,"標打",前期_2027!$B$2:$B$300,"All Iscfm",前期_2027!$C$2:$C$300,$B45),0)</f>
        <v>67793.1</v>
      </c>
      <c r="G45" s="47" t="n">
        <f aca="false">E45-F45</f>
        <v>0</v>
      </c>
      <c r="H45" s="48" t="n">
        <f aca="false">IF(F45=0,"",G45/F45)</f>
        <v>0</v>
      </c>
      <c r="I45" s="49" t="n">
        <f aca="false">IFERROR(SUMIFS(INDEX(本週_2027!$D$2:$Z$300,0,MATCH($C45,本週_2027!$D$1:$Z$1,0)),本週_2027!$A$2:$A$300,"NET_CMT_標打_成改後",本週_2027!$B$2:$B$300,"All Iscfm",本週_2027!$C$2:$C$300,$B45),0)</f>
        <v>20.1</v>
      </c>
      <c r="J45" s="49" t="n">
        <f aca="false">IFERROR(SUMIFS(INDEX(前期_2027!$D$2:$Z$300,0,MATCH($C45,前期_2027!$D$1:$Z$1,0)),前期_2027!$A$2:$A$300,"NET_CMT_標打_成改後",前期_2027!$B$2:$B$300,"All Iscfm",前期_2027!$C$2:$C$300,$B45),0)</f>
        <v>20.1</v>
      </c>
      <c r="K45" s="50" t="n">
        <f aca="false">I45-J45</f>
        <v>0</v>
      </c>
      <c r="L45" s="29" t="str">
        <f aca="false">IF($B45="All Program","",IF(OR(ABS(G45)&gt;=說明!$C$7,ABS(K45)&gt;=說明!$C$8),"需說明",""))</f>
        <v/>
      </c>
      <c r="M45" s="29" t="str">
        <f aca="false">IF(L45="需說明",COUNTIF($L$5:L45,"需說明"),"")</f>
        <v/>
      </c>
      <c r="N45" s="44"/>
      <c r="O45" s="44"/>
      <c r="P45" s="44"/>
    </row>
    <row r="46" customFormat="false" ht="15" hidden="false" customHeight="false" outlineLevel="0" collapsed="false">
      <c r="A46" s="45" t="n">
        <v>2027</v>
      </c>
      <c r="B46" s="29" t="s">
        <v>60</v>
      </c>
      <c r="C46" s="29" t="s">
        <v>66</v>
      </c>
      <c r="D46" s="29" t="s">
        <v>79</v>
      </c>
      <c r="E46" s="47" t="n">
        <f aca="false">IFERROR(SUMIFS(INDEX(本週_2027!$D$2:$Z$300,0,MATCH($C46,本週_2027!$D$1:$Z$1,0)),本週_2027!$A$2:$A$300,"標打",本週_2027!$B$2:$B$300,"All Iscfm",本週_2027!$C$2:$C$300,$B46),0)</f>
        <v>14283.1</v>
      </c>
      <c r="F46" s="47" t="n">
        <f aca="false">IFERROR(SUMIFS(INDEX(前期_2027!$D$2:$Z$300,0,MATCH($C46,前期_2027!$D$1:$Z$1,0)),前期_2027!$A$2:$A$300,"標打",前期_2027!$B$2:$B$300,"All Iscfm",前期_2027!$C$2:$C$300,$B46),0)</f>
        <v>14283.1</v>
      </c>
      <c r="G46" s="47" t="n">
        <f aca="false">E46-F46</f>
        <v>0</v>
      </c>
      <c r="H46" s="48" t="n">
        <f aca="false">IF(F46=0,"",G46/F46)</f>
        <v>0</v>
      </c>
      <c r="I46" s="49" t="n">
        <f aca="false">IFERROR(SUMIFS(INDEX(本週_2027!$D$2:$Z$300,0,MATCH($C46,本週_2027!$D$1:$Z$1,0)),本週_2027!$A$2:$A$300,"NET_CMT_標打_成改後",本週_2027!$B$2:$B$300,"All Iscfm",本週_2027!$C$2:$C$300,$B46),0)</f>
        <v>19.94</v>
      </c>
      <c r="J46" s="49" t="n">
        <f aca="false">IFERROR(SUMIFS(INDEX(前期_2027!$D$2:$Z$300,0,MATCH($C46,前期_2027!$D$1:$Z$1,0)),前期_2027!$A$2:$A$300,"NET_CMT_標打_成改後",前期_2027!$B$2:$B$300,"All Iscfm",前期_2027!$C$2:$C$300,$B46),0)</f>
        <v>19.94</v>
      </c>
      <c r="K46" s="50" t="n">
        <f aca="false">I46-J46</f>
        <v>0</v>
      </c>
      <c r="L46" s="29" t="str">
        <f aca="false">IF($B46="All Program","",IF(OR(ABS(G46)&gt;=說明!$C$7,ABS(K46)&gt;=說明!$C$8),"需說明",""))</f>
        <v/>
      </c>
      <c r="M46" s="29" t="str">
        <f aca="false">IF(L46="需說明",COUNTIF($L$5:L46,"需說明"),"")</f>
        <v/>
      </c>
      <c r="N46" s="44"/>
      <c r="O46" s="44"/>
      <c r="P46" s="44"/>
    </row>
    <row r="47" customFormat="false" ht="15" hidden="false" customHeight="false" outlineLevel="0" collapsed="false">
      <c r="A47" s="45" t="n">
        <v>2027</v>
      </c>
      <c r="B47" s="29" t="s">
        <v>60</v>
      </c>
      <c r="C47" s="29" t="s">
        <v>67</v>
      </c>
      <c r="D47" s="29" t="s">
        <v>80</v>
      </c>
      <c r="E47" s="47" t="n">
        <f aca="false">IFERROR(SUMIFS(INDEX(本週_2027!$D$2:$Z$300,0,MATCH($C47,本週_2027!$D$1:$Z$1,0)),本週_2027!$A$2:$A$300,"標打",本週_2027!$B$2:$B$300,"All Iscfm",本週_2027!$C$2:$C$300,$B47),0)</f>
        <v>17836.7</v>
      </c>
      <c r="F47" s="47" t="n">
        <f aca="false">IFERROR(SUMIFS(INDEX(前期_2027!$D$2:$Z$300,0,MATCH($C47,前期_2027!$D$1:$Z$1,0)),前期_2027!$A$2:$A$300,"標打",前期_2027!$B$2:$B$300,"All Iscfm",前期_2027!$C$2:$C$300,$B47),0)</f>
        <v>17836.7</v>
      </c>
      <c r="G47" s="47" t="n">
        <f aca="false">E47-F47</f>
        <v>0</v>
      </c>
      <c r="H47" s="48" t="n">
        <f aca="false">IF(F47=0,"",G47/F47)</f>
        <v>0</v>
      </c>
      <c r="I47" s="49" t="n">
        <f aca="false">IFERROR(SUMIFS(INDEX(本週_2027!$D$2:$Z$300,0,MATCH($C47,本週_2027!$D$1:$Z$1,0)),本週_2027!$A$2:$A$300,"NET_CMT_標打_成改後",本週_2027!$B$2:$B$300,"All Iscfm",本週_2027!$C$2:$C$300,$B47),0)</f>
        <v>20.14</v>
      </c>
      <c r="J47" s="49" t="n">
        <f aca="false">IFERROR(SUMIFS(INDEX(前期_2027!$D$2:$Z$300,0,MATCH($C47,前期_2027!$D$1:$Z$1,0)),前期_2027!$A$2:$A$300,"NET_CMT_標打_成改後",前期_2027!$B$2:$B$300,"All Iscfm",前期_2027!$C$2:$C$300,$B47),0)</f>
        <v>20.14</v>
      </c>
      <c r="K47" s="50" t="n">
        <f aca="false">I47-J47</f>
        <v>0</v>
      </c>
      <c r="L47" s="29" t="str">
        <f aca="false">IF($B47="All Program","",IF(OR(ABS(G47)&gt;=說明!$C$7,ABS(K47)&gt;=說明!$C$8),"需說明",""))</f>
        <v/>
      </c>
      <c r="M47" s="29" t="str">
        <f aca="false">IF(L47="需說明",COUNTIF($L$5:L47,"需說明"),"")</f>
        <v/>
      </c>
      <c r="N47" s="44"/>
      <c r="O47" s="44"/>
      <c r="P47" s="44"/>
    </row>
    <row r="48" customFormat="false" ht="15" hidden="false" customHeight="false" outlineLevel="0" collapsed="false">
      <c r="A48" s="45" t="n">
        <v>2027</v>
      </c>
      <c r="B48" s="29" t="s">
        <v>60</v>
      </c>
      <c r="C48" s="29" t="s">
        <v>68</v>
      </c>
      <c r="D48" s="29" t="s">
        <v>81</v>
      </c>
      <c r="E48" s="47" t="n">
        <f aca="false">IFERROR(SUMIFS(INDEX(本週_2027!$D$2:$Z$300,0,MATCH($C48,本週_2027!$D$1:$Z$1,0)),本週_2027!$A$2:$A$300,"標打",本週_2027!$B$2:$B$300,"All Iscfm",本週_2027!$C$2:$C$300,$B48),0)</f>
        <v>17836.7</v>
      </c>
      <c r="F48" s="47" t="n">
        <f aca="false">IFERROR(SUMIFS(INDEX(前期_2027!$D$2:$Z$300,0,MATCH($C48,前期_2027!$D$1:$Z$1,0)),前期_2027!$A$2:$A$300,"標打",前期_2027!$B$2:$B$300,"All Iscfm",前期_2027!$C$2:$C$300,$B48),0)</f>
        <v>17836.7</v>
      </c>
      <c r="G48" s="47" t="n">
        <f aca="false">E48-F48</f>
        <v>0</v>
      </c>
      <c r="H48" s="48" t="n">
        <f aca="false">IF(F48=0,"",G48/F48)</f>
        <v>0</v>
      </c>
      <c r="I48" s="49" t="n">
        <f aca="false">IFERROR(SUMIFS(INDEX(本週_2027!$D$2:$Z$300,0,MATCH($C48,本週_2027!$D$1:$Z$1,0)),本週_2027!$A$2:$A$300,"NET_CMT_標打_成改後",本週_2027!$B$2:$B$300,"All Iscfm",本週_2027!$C$2:$C$300,$B48),0)</f>
        <v>20.14</v>
      </c>
      <c r="J48" s="49" t="n">
        <f aca="false">IFERROR(SUMIFS(INDEX(前期_2027!$D$2:$Z$300,0,MATCH($C48,前期_2027!$D$1:$Z$1,0)),前期_2027!$A$2:$A$300,"NET_CMT_標打_成改後",前期_2027!$B$2:$B$300,"All Iscfm",前期_2027!$C$2:$C$300,$B48),0)</f>
        <v>20.14</v>
      </c>
      <c r="K48" s="50" t="n">
        <f aca="false">I48-J48</f>
        <v>0</v>
      </c>
      <c r="L48" s="29" t="str">
        <f aca="false">IF($B48="All Program","",IF(OR(ABS(G48)&gt;=說明!$C$7,ABS(K48)&gt;=說明!$C$8),"需說明",""))</f>
        <v/>
      </c>
      <c r="M48" s="29" t="str">
        <f aca="false">IF(L48="需說明",COUNTIF($L$5:L48,"需說明"),"")</f>
        <v/>
      </c>
      <c r="N48" s="44"/>
      <c r="O48" s="44"/>
      <c r="P48" s="44"/>
    </row>
    <row r="49" customFormat="false" ht="15" hidden="false" customHeight="false" outlineLevel="0" collapsed="false">
      <c r="A49" s="45" t="n">
        <v>2027</v>
      </c>
      <c r="B49" s="29" t="s">
        <v>60</v>
      </c>
      <c r="C49" s="29" t="s">
        <v>69</v>
      </c>
      <c r="D49" s="29" t="s">
        <v>82</v>
      </c>
      <c r="E49" s="47" t="n">
        <f aca="false">IFERROR(SUMIFS(INDEX(本週_2027!$D$2:$Z$300,0,MATCH($C49,本週_2027!$D$1:$Z$1,0)),本週_2027!$A$2:$A$300,"標打",本週_2027!$B$2:$B$300,"All Iscfm",本週_2027!$C$2:$C$300,$B49),0)</f>
        <v>17836.7</v>
      </c>
      <c r="F49" s="47" t="n">
        <f aca="false">IFERROR(SUMIFS(INDEX(前期_2027!$D$2:$Z$300,0,MATCH($C49,前期_2027!$D$1:$Z$1,0)),前期_2027!$A$2:$A$300,"標打",前期_2027!$B$2:$B$300,"All Iscfm",前期_2027!$C$2:$C$300,$B49),0)</f>
        <v>17836.7</v>
      </c>
      <c r="G49" s="47" t="n">
        <f aca="false">E49-F49</f>
        <v>0</v>
      </c>
      <c r="H49" s="48" t="n">
        <f aca="false">IF(F49=0,"",G49/F49)</f>
        <v>0</v>
      </c>
      <c r="I49" s="49" t="n">
        <f aca="false">IFERROR(SUMIFS(INDEX(本週_2027!$D$2:$Z$300,0,MATCH($C49,本週_2027!$D$1:$Z$1,0)),本週_2027!$A$2:$A$300,"NET_CMT_標打_成改後",本週_2027!$B$2:$B$300,"All Iscfm",本週_2027!$C$2:$C$300,$B49),0)</f>
        <v>20.14</v>
      </c>
      <c r="J49" s="49" t="n">
        <f aca="false">IFERROR(SUMIFS(INDEX(前期_2027!$D$2:$Z$300,0,MATCH($C49,前期_2027!$D$1:$Z$1,0)),前期_2027!$A$2:$A$300,"NET_CMT_標打_成改後",前期_2027!$B$2:$B$300,"All Iscfm",前期_2027!$C$2:$C$300,$B49),0)</f>
        <v>20.14</v>
      </c>
      <c r="K49" s="50" t="n">
        <f aca="false">I49-J49</f>
        <v>0</v>
      </c>
      <c r="L49" s="29" t="str">
        <f aca="false">IF($B49="All Program","",IF(OR(ABS(G49)&gt;=說明!$C$7,ABS(K49)&gt;=說明!$C$8),"需說明",""))</f>
        <v/>
      </c>
      <c r="M49" s="29" t="str">
        <f aca="false">IF(L49="需說明",COUNTIF($L$5:L49,"需說明"),"")</f>
        <v/>
      </c>
      <c r="N49" s="44"/>
      <c r="O49" s="44"/>
      <c r="P49" s="44"/>
    </row>
    <row r="50" customFormat="false" ht="15" hidden="false" customHeight="false" outlineLevel="0" collapsed="false">
      <c r="A50" s="45" t="n">
        <v>2027</v>
      </c>
      <c r="B50" s="29" t="s">
        <v>61</v>
      </c>
      <c r="C50" s="29" t="n">
        <v>2027</v>
      </c>
      <c r="D50" s="46" t="s">
        <v>78</v>
      </c>
      <c r="E50" s="47" t="n">
        <f aca="false">IFERROR(SUMIFS(INDEX(本週_2027!$D$2:$Z$300,0,MATCH($C50,本週_2027!$D$1:$Z$1,0)),本週_2027!$A$2:$A$300,"標打",本週_2027!$B$2:$B$300,"All Iscfm",本週_2027!$C$2:$C$300,$B50),0)</f>
        <v>83453.6</v>
      </c>
      <c r="F50" s="47" t="n">
        <f aca="false">IFERROR(SUMIFS(INDEX(前期_2027!$D$2:$Z$300,0,MATCH($C50,前期_2027!$D$1:$Z$1,0)),前期_2027!$A$2:$A$300,"標打",前期_2027!$B$2:$B$300,"All Iscfm",前期_2027!$C$2:$C$300,$B50),0)</f>
        <v>83453.6</v>
      </c>
      <c r="G50" s="47" t="n">
        <f aca="false">E50-F50</f>
        <v>0</v>
      </c>
      <c r="H50" s="48" t="n">
        <f aca="false">IF(F50=0,"",G50/F50)</f>
        <v>0</v>
      </c>
      <c r="I50" s="49" t="n">
        <f aca="false">IFERROR(SUMIFS(INDEX(本週_2027!$D$2:$Z$300,0,MATCH($C50,本週_2027!$D$1:$Z$1,0)),本週_2027!$A$2:$A$300,"NET_CMT_標打_成改後",本週_2027!$B$2:$B$300,"All Iscfm",本週_2027!$C$2:$C$300,$B50),0)</f>
        <v>17.47</v>
      </c>
      <c r="J50" s="49" t="n">
        <f aca="false">IFERROR(SUMIFS(INDEX(前期_2027!$D$2:$Z$300,0,MATCH($C50,前期_2027!$D$1:$Z$1,0)),前期_2027!$A$2:$A$300,"NET_CMT_標打_成改後",前期_2027!$B$2:$B$300,"All Iscfm",前期_2027!$C$2:$C$300,$B50),0)</f>
        <v>17.47</v>
      </c>
      <c r="K50" s="50" t="n">
        <f aca="false">I50-J50</f>
        <v>0</v>
      </c>
      <c r="L50" s="29" t="str">
        <f aca="false">IF($B50="All Program","",IF(OR(ABS(G50)&gt;=說明!$C$7,ABS(K50)&gt;=說明!$C$8),"需說明",""))</f>
        <v/>
      </c>
      <c r="M50" s="29" t="str">
        <f aca="false">IF(L50="需說明",COUNTIF($L$5:L50,"需說明"),"")</f>
        <v/>
      </c>
      <c r="N50" s="44"/>
      <c r="O50" s="44"/>
      <c r="P50" s="44"/>
    </row>
    <row r="51" customFormat="false" ht="15" hidden="false" customHeight="false" outlineLevel="0" collapsed="false">
      <c r="A51" s="45" t="n">
        <v>2027</v>
      </c>
      <c r="B51" s="29" t="s">
        <v>61</v>
      </c>
      <c r="C51" s="29" t="s">
        <v>66</v>
      </c>
      <c r="D51" s="29" t="s">
        <v>79</v>
      </c>
      <c r="E51" s="47" t="n">
        <f aca="false">IFERROR(SUMIFS(INDEX(本週_2027!$D$2:$Z$300,0,MATCH($C51,本週_2027!$D$1:$Z$1,0)),本週_2027!$A$2:$A$300,"標打",本週_2027!$B$2:$B$300,"All Iscfm",本週_2027!$C$2:$C$300,$B51),0)</f>
        <v>17995.6</v>
      </c>
      <c r="F51" s="47" t="n">
        <f aca="false">IFERROR(SUMIFS(INDEX(前期_2027!$D$2:$Z$300,0,MATCH($C51,前期_2027!$D$1:$Z$1,0)),前期_2027!$A$2:$A$300,"標打",前期_2027!$B$2:$B$300,"All Iscfm",前期_2027!$C$2:$C$300,$B51),0)</f>
        <v>17995.6</v>
      </c>
      <c r="G51" s="47" t="n">
        <f aca="false">E51-F51</f>
        <v>0</v>
      </c>
      <c r="H51" s="48" t="n">
        <f aca="false">IF(F51=0,"",G51/F51)</f>
        <v>0</v>
      </c>
      <c r="I51" s="49" t="n">
        <f aca="false">IFERROR(SUMIFS(INDEX(本週_2027!$D$2:$Z$300,0,MATCH($C51,本週_2027!$D$1:$Z$1,0)),本週_2027!$A$2:$A$300,"NET_CMT_標打_成改後",本週_2027!$B$2:$B$300,"All Iscfm",本週_2027!$C$2:$C$300,$B51),0)</f>
        <v>17.51</v>
      </c>
      <c r="J51" s="49" t="n">
        <f aca="false">IFERROR(SUMIFS(INDEX(前期_2027!$D$2:$Z$300,0,MATCH($C51,前期_2027!$D$1:$Z$1,0)),前期_2027!$A$2:$A$300,"NET_CMT_標打_成改後",前期_2027!$B$2:$B$300,"All Iscfm",前期_2027!$C$2:$C$300,$B51),0)</f>
        <v>17.51</v>
      </c>
      <c r="K51" s="50" t="n">
        <f aca="false">I51-J51</f>
        <v>0</v>
      </c>
      <c r="L51" s="29" t="str">
        <f aca="false">IF($B51="All Program","",IF(OR(ABS(G51)&gt;=說明!$C$7,ABS(K51)&gt;=說明!$C$8),"需說明",""))</f>
        <v/>
      </c>
      <c r="M51" s="29" t="str">
        <f aca="false">IF(L51="需說明",COUNTIF($L$5:L51,"需說明"),"")</f>
        <v/>
      </c>
      <c r="N51" s="44"/>
      <c r="O51" s="44"/>
      <c r="P51" s="44"/>
    </row>
    <row r="52" customFormat="false" ht="15" hidden="false" customHeight="false" outlineLevel="0" collapsed="false">
      <c r="A52" s="45" t="n">
        <v>2027</v>
      </c>
      <c r="B52" s="29" t="s">
        <v>61</v>
      </c>
      <c r="C52" s="29" t="s">
        <v>67</v>
      </c>
      <c r="D52" s="29" t="s">
        <v>80</v>
      </c>
      <c r="E52" s="47" t="n">
        <f aca="false">IFERROR(SUMIFS(INDEX(本週_2027!$D$2:$Z$300,0,MATCH($C52,本週_2027!$D$1:$Z$1,0)),本週_2027!$A$2:$A$300,"標打",本週_2027!$B$2:$B$300,"All Iscfm",本週_2027!$C$2:$C$300,$B52),0)</f>
        <v>21819.3</v>
      </c>
      <c r="F52" s="47" t="n">
        <f aca="false">IFERROR(SUMIFS(INDEX(前期_2027!$D$2:$Z$300,0,MATCH($C52,前期_2027!$D$1:$Z$1,0)),前期_2027!$A$2:$A$300,"標打",前期_2027!$B$2:$B$300,"All Iscfm",前期_2027!$C$2:$C$300,$B52),0)</f>
        <v>21819.3</v>
      </c>
      <c r="G52" s="47" t="n">
        <f aca="false">E52-F52</f>
        <v>0</v>
      </c>
      <c r="H52" s="48" t="n">
        <f aca="false">IF(F52=0,"",G52/F52)</f>
        <v>0</v>
      </c>
      <c r="I52" s="49" t="n">
        <f aca="false">IFERROR(SUMIFS(INDEX(本週_2027!$D$2:$Z$300,0,MATCH($C52,本週_2027!$D$1:$Z$1,0)),本週_2027!$A$2:$A$300,"NET_CMT_標打_成改後",本週_2027!$B$2:$B$300,"All Iscfm",本週_2027!$C$2:$C$300,$B52),0)</f>
        <v>17.46</v>
      </c>
      <c r="J52" s="49" t="n">
        <f aca="false">IFERROR(SUMIFS(INDEX(前期_2027!$D$2:$Z$300,0,MATCH($C52,前期_2027!$D$1:$Z$1,0)),前期_2027!$A$2:$A$300,"NET_CMT_標打_成改後",前期_2027!$B$2:$B$300,"All Iscfm",前期_2027!$C$2:$C$300,$B52),0)</f>
        <v>17.46</v>
      </c>
      <c r="K52" s="50" t="n">
        <f aca="false">I52-J52</f>
        <v>0</v>
      </c>
      <c r="L52" s="29" t="str">
        <f aca="false">IF($B52="All Program","",IF(OR(ABS(G52)&gt;=說明!$C$7,ABS(K52)&gt;=說明!$C$8),"需說明",""))</f>
        <v/>
      </c>
      <c r="M52" s="29" t="str">
        <f aca="false">IF(L52="需說明",COUNTIF($L$5:L52,"需說明"),"")</f>
        <v/>
      </c>
      <c r="N52" s="44"/>
      <c r="O52" s="44"/>
      <c r="P52" s="44"/>
    </row>
    <row r="53" customFormat="false" ht="15" hidden="false" customHeight="false" outlineLevel="0" collapsed="false">
      <c r="A53" s="45" t="n">
        <v>2027</v>
      </c>
      <c r="B53" s="29" t="s">
        <v>61</v>
      </c>
      <c r="C53" s="29" t="s">
        <v>68</v>
      </c>
      <c r="D53" s="29" t="s">
        <v>81</v>
      </c>
      <c r="E53" s="47" t="n">
        <f aca="false">IFERROR(SUMIFS(INDEX(本週_2027!$D$2:$Z$300,0,MATCH($C53,本週_2027!$D$1:$Z$1,0)),本週_2027!$A$2:$A$300,"標打",本週_2027!$B$2:$B$300,"All Iscfm",本週_2027!$C$2:$C$300,$B53),0)</f>
        <v>21819.3</v>
      </c>
      <c r="F53" s="47" t="n">
        <f aca="false">IFERROR(SUMIFS(INDEX(前期_2027!$D$2:$Z$300,0,MATCH($C53,前期_2027!$D$1:$Z$1,0)),前期_2027!$A$2:$A$300,"標打",前期_2027!$B$2:$B$300,"All Iscfm",前期_2027!$C$2:$C$300,$B53),0)</f>
        <v>21819.3</v>
      </c>
      <c r="G53" s="47" t="n">
        <f aca="false">E53-F53</f>
        <v>0</v>
      </c>
      <c r="H53" s="48" t="n">
        <f aca="false">IF(F53=0,"",G53/F53)</f>
        <v>0</v>
      </c>
      <c r="I53" s="49" t="n">
        <f aca="false">IFERROR(SUMIFS(INDEX(本週_2027!$D$2:$Z$300,0,MATCH($C53,本週_2027!$D$1:$Z$1,0)),本週_2027!$A$2:$A$300,"NET_CMT_標打_成改後",本週_2027!$B$2:$B$300,"All Iscfm",本週_2027!$C$2:$C$300,$B53),0)</f>
        <v>17.46</v>
      </c>
      <c r="J53" s="49" t="n">
        <f aca="false">IFERROR(SUMIFS(INDEX(前期_2027!$D$2:$Z$300,0,MATCH($C53,前期_2027!$D$1:$Z$1,0)),前期_2027!$A$2:$A$300,"NET_CMT_標打_成改後",前期_2027!$B$2:$B$300,"All Iscfm",前期_2027!$C$2:$C$300,$B53),0)</f>
        <v>17.46</v>
      </c>
      <c r="K53" s="50" t="n">
        <f aca="false">I53-J53</f>
        <v>0</v>
      </c>
      <c r="L53" s="29" t="str">
        <f aca="false">IF($B53="All Program","",IF(OR(ABS(G53)&gt;=說明!$C$7,ABS(K53)&gt;=說明!$C$8),"需說明",""))</f>
        <v/>
      </c>
      <c r="M53" s="29" t="str">
        <f aca="false">IF(L53="需說明",COUNTIF($L$5:L53,"需說明"),"")</f>
        <v/>
      </c>
      <c r="N53" s="44"/>
      <c r="O53" s="44"/>
      <c r="P53" s="44"/>
    </row>
    <row r="54" customFormat="false" ht="15" hidden="false" customHeight="false" outlineLevel="0" collapsed="false">
      <c r="A54" s="45" t="n">
        <v>2027</v>
      </c>
      <c r="B54" s="29" t="s">
        <v>61</v>
      </c>
      <c r="C54" s="29" t="s">
        <v>69</v>
      </c>
      <c r="D54" s="29" t="s">
        <v>82</v>
      </c>
      <c r="E54" s="47" t="n">
        <f aca="false">IFERROR(SUMIFS(INDEX(本週_2027!$D$2:$Z$300,0,MATCH($C54,本週_2027!$D$1:$Z$1,0)),本週_2027!$A$2:$A$300,"標打",本週_2027!$B$2:$B$300,"All Iscfm",本週_2027!$C$2:$C$300,$B54),0)</f>
        <v>21819.3</v>
      </c>
      <c r="F54" s="47" t="n">
        <f aca="false">IFERROR(SUMIFS(INDEX(前期_2027!$D$2:$Z$300,0,MATCH($C54,前期_2027!$D$1:$Z$1,0)),前期_2027!$A$2:$A$300,"標打",前期_2027!$B$2:$B$300,"All Iscfm",前期_2027!$C$2:$C$300,$B54),0)</f>
        <v>21819.3</v>
      </c>
      <c r="G54" s="47" t="n">
        <f aca="false">E54-F54</f>
        <v>0</v>
      </c>
      <c r="H54" s="48" t="n">
        <f aca="false">IF(F54=0,"",G54/F54)</f>
        <v>0</v>
      </c>
      <c r="I54" s="49" t="n">
        <f aca="false">IFERROR(SUMIFS(INDEX(本週_2027!$D$2:$Z$300,0,MATCH($C54,本週_2027!$D$1:$Z$1,0)),本週_2027!$A$2:$A$300,"NET_CMT_標打_成改後",本週_2027!$B$2:$B$300,"All Iscfm",本週_2027!$C$2:$C$300,$B54),0)</f>
        <v>17.46</v>
      </c>
      <c r="J54" s="49" t="n">
        <f aca="false">IFERROR(SUMIFS(INDEX(前期_2027!$D$2:$Z$300,0,MATCH($C54,前期_2027!$D$1:$Z$1,0)),前期_2027!$A$2:$A$300,"NET_CMT_標打_成改後",前期_2027!$B$2:$B$300,"All Iscfm",前期_2027!$C$2:$C$300,$B54),0)</f>
        <v>17.46</v>
      </c>
      <c r="K54" s="50" t="n">
        <f aca="false">I54-J54</f>
        <v>0</v>
      </c>
      <c r="L54" s="29" t="str">
        <f aca="false">IF($B54="All Program","",IF(OR(ABS(G54)&gt;=說明!$C$7,ABS(K54)&gt;=說明!$C$8),"需說明",""))</f>
        <v/>
      </c>
      <c r="M54" s="29" t="str">
        <f aca="false">IF(L54="需說明",COUNTIF($L$5:L54,"需說明"),"")</f>
        <v/>
      </c>
      <c r="N54" s="44"/>
      <c r="O54" s="44"/>
      <c r="P54" s="44"/>
    </row>
    <row r="55" customFormat="false" ht="15" hidden="false" customHeight="false" outlineLevel="0" collapsed="false">
      <c r="A55" s="45" t="n">
        <v>2027</v>
      </c>
      <c r="B55" s="29" t="s">
        <v>62</v>
      </c>
      <c r="C55" s="29" t="n">
        <v>2027</v>
      </c>
      <c r="D55" s="46" t="s">
        <v>78</v>
      </c>
      <c r="E55" s="47" t="n">
        <f aca="false">IFERROR(SUMIFS(INDEX(本週_2027!$D$2:$Z$300,0,MATCH($C55,本週_2027!$D$1:$Z$1,0)),本週_2027!$A$2:$A$300,"標打",本週_2027!$B$2:$B$300,"All Iscfm",本週_2027!$C$2:$C$300,$B55),0)</f>
        <v>47150</v>
      </c>
      <c r="F55" s="47" t="n">
        <f aca="false">IFERROR(SUMIFS(INDEX(前期_2027!$D$2:$Z$300,0,MATCH($C55,前期_2027!$D$1:$Z$1,0)),前期_2027!$A$2:$A$300,"標打",前期_2027!$B$2:$B$300,"All Iscfm",前期_2027!$C$2:$C$300,$B55),0)</f>
        <v>47150</v>
      </c>
      <c r="G55" s="47" t="n">
        <f aca="false">E55-F55</f>
        <v>0</v>
      </c>
      <c r="H55" s="48" t="n">
        <f aca="false">IF(F55=0,"",G55/F55)</f>
        <v>0</v>
      </c>
      <c r="I55" s="49" t="n">
        <f aca="false">IFERROR(SUMIFS(INDEX(本週_2027!$D$2:$Z$300,0,MATCH($C55,本週_2027!$D$1:$Z$1,0)),本週_2027!$A$2:$A$300,"NET_CMT_標打_成改後",本週_2027!$B$2:$B$300,"All Iscfm",本週_2027!$C$2:$C$300,$B55),0)</f>
        <v>22.51</v>
      </c>
      <c r="J55" s="49" t="n">
        <f aca="false">IFERROR(SUMIFS(INDEX(前期_2027!$D$2:$Z$300,0,MATCH($C55,前期_2027!$D$1:$Z$1,0)),前期_2027!$A$2:$A$300,"NET_CMT_標打_成改後",前期_2027!$B$2:$B$300,"All Iscfm",前期_2027!$C$2:$C$300,$B55),0)</f>
        <v>22.51</v>
      </c>
      <c r="K55" s="50" t="n">
        <f aca="false">I55-J55</f>
        <v>0</v>
      </c>
      <c r="L55" s="29" t="str">
        <f aca="false">IF($B55="All Program","",IF(OR(ABS(G55)&gt;=說明!$C$7,ABS(K55)&gt;=說明!$C$8),"需說明",""))</f>
        <v/>
      </c>
      <c r="M55" s="29" t="str">
        <f aca="false">IF(L55="需說明",COUNTIF($L$5:L55,"需說明"),"")</f>
        <v/>
      </c>
      <c r="N55" s="44"/>
      <c r="O55" s="44"/>
      <c r="P55" s="44"/>
    </row>
    <row r="56" customFormat="false" ht="15" hidden="false" customHeight="false" outlineLevel="0" collapsed="false">
      <c r="A56" s="45" t="n">
        <v>2027</v>
      </c>
      <c r="B56" s="29" t="s">
        <v>62</v>
      </c>
      <c r="C56" s="29" t="s">
        <v>66</v>
      </c>
      <c r="D56" s="29" t="s">
        <v>79</v>
      </c>
      <c r="E56" s="47" t="n">
        <f aca="false">IFERROR(SUMIFS(INDEX(本週_2027!$D$2:$Z$300,0,MATCH($C56,本週_2027!$D$1:$Z$1,0)),本週_2027!$A$2:$A$300,"標打",本週_2027!$B$2:$B$300,"All Iscfm",本週_2027!$C$2:$C$300,$B56),0)</f>
        <v>10250</v>
      </c>
      <c r="F56" s="47" t="n">
        <f aca="false">IFERROR(SUMIFS(INDEX(前期_2027!$D$2:$Z$300,0,MATCH($C56,前期_2027!$D$1:$Z$1,0)),前期_2027!$A$2:$A$300,"標打",前期_2027!$B$2:$B$300,"All Iscfm",前期_2027!$C$2:$C$300,$B56),0)</f>
        <v>10250</v>
      </c>
      <c r="G56" s="47" t="n">
        <f aca="false">E56-F56</f>
        <v>0</v>
      </c>
      <c r="H56" s="48" t="n">
        <f aca="false">IF(F56=0,"",G56/F56)</f>
        <v>0</v>
      </c>
      <c r="I56" s="49" t="n">
        <f aca="false">IFERROR(SUMIFS(INDEX(本週_2027!$D$2:$Z$300,0,MATCH($C56,本週_2027!$D$1:$Z$1,0)),本週_2027!$A$2:$A$300,"NET_CMT_標打_成改後",本週_2027!$B$2:$B$300,"All Iscfm",本週_2027!$C$2:$C$300,$B56),0)</f>
        <v>22.49</v>
      </c>
      <c r="J56" s="49" t="n">
        <f aca="false">IFERROR(SUMIFS(INDEX(前期_2027!$D$2:$Z$300,0,MATCH($C56,前期_2027!$D$1:$Z$1,0)),前期_2027!$A$2:$A$300,"NET_CMT_標打_成改後",前期_2027!$B$2:$B$300,"All Iscfm",前期_2027!$C$2:$C$300,$B56),0)</f>
        <v>22.49</v>
      </c>
      <c r="K56" s="50" t="n">
        <f aca="false">I56-J56</f>
        <v>0</v>
      </c>
      <c r="L56" s="29" t="str">
        <f aca="false">IF($B56="All Program","",IF(OR(ABS(G56)&gt;=說明!$C$7,ABS(K56)&gt;=說明!$C$8),"需說明",""))</f>
        <v/>
      </c>
      <c r="M56" s="29" t="str">
        <f aca="false">IF(L56="需說明",COUNTIF($L$5:L56,"需說明"),"")</f>
        <v/>
      </c>
      <c r="N56" s="44"/>
      <c r="O56" s="44"/>
      <c r="P56" s="44"/>
    </row>
    <row r="57" customFormat="false" ht="15" hidden="false" customHeight="false" outlineLevel="0" collapsed="false">
      <c r="A57" s="45" t="n">
        <v>2027</v>
      </c>
      <c r="B57" s="29" t="s">
        <v>62</v>
      </c>
      <c r="C57" s="29" t="s">
        <v>67</v>
      </c>
      <c r="D57" s="29" t="s">
        <v>80</v>
      </c>
      <c r="E57" s="47" t="n">
        <f aca="false">IFERROR(SUMIFS(INDEX(本週_2027!$D$2:$Z$300,0,MATCH($C57,本週_2027!$D$1:$Z$1,0)),本週_2027!$A$2:$A$300,"標打",本週_2027!$B$2:$B$300,"All Iscfm",本週_2027!$C$2:$C$300,$B57),0)</f>
        <v>12300</v>
      </c>
      <c r="F57" s="47" t="n">
        <f aca="false">IFERROR(SUMIFS(INDEX(前期_2027!$D$2:$Z$300,0,MATCH($C57,前期_2027!$D$1:$Z$1,0)),前期_2027!$A$2:$A$300,"標打",前期_2027!$B$2:$B$300,"All Iscfm",前期_2027!$C$2:$C$300,$B57),0)</f>
        <v>12300</v>
      </c>
      <c r="G57" s="47" t="n">
        <f aca="false">E57-F57</f>
        <v>0</v>
      </c>
      <c r="H57" s="48" t="n">
        <f aca="false">IF(F57=0,"",G57/F57)</f>
        <v>0</v>
      </c>
      <c r="I57" s="49" t="n">
        <f aca="false">IFERROR(SUMIFS(INDEX(本週_2027!$D$2:$Z$300,0,MATCH($C57,本週_2027!$D$1:$Z$1,0)),本週_2027!$A$2:$A$300,"NET_CMT_標打_成改後",本週_2027!$B$2:$B$300,"All Iscfm",本週_2027!$C$2:$C$300,$B57),0)</f>
        <v>22.51</v>
      </c>
      <c r="J57" s="49" t="n">
        <f aca="false">IFERROR(SUMIFS(INDEX(前期_2027!$D$2:$Z$300,0,MATCH($C57,前期_2027!$D$1:$Z$1,0)),前期_2027!$A$2:$A$300,"NET_CMT_標打_成改後",前期_2027!$B$2:$B$300,"All Iscfm",前期_2027!$C$2:$C$300,$B57),0)</f>
        <v>22.51</v>
      </c>
      <c r="K57" s="50" t="n">
        <f aca="false">I57-J57</f>
        <v>0</v>
      </c>
      <c r="L57" s="29" t="str">
        <f aca="false">IF($B57="All Program","",IF(OR(ABS(G57)&gt;=說明!$C$7,ABS(K57)&gt;=說明!$C$8),"需說明",""))</f>
        <v/>
      </c>
      <c r="M57" s="29" t="str">
        <f aca="false">IF(L57="需說明",COUNTIF($L$5:L57,"需說明"),"")</f>
        <v/>
      </c>
      <c r="N57" s="44"/>
      <c r="O57" s="44"/>
      <c r="P57" s="44"/>
    </row>
    <row r="58" customFormat="false" ht="15" hidden="false" customHeight="false" outlineLevel="0" collapsed="false">
      <c r="A58" s="45" t="n">
        <v>2027</v>
      </c>
      <c r="B58" s="29" t="s">
        <v>62</v>
      </c>
      <c r="C58" s="29" t="s">
        <v>68</v>
      </c>
      <c r="D58" s="29" t="s">
        <v>81</v>
      </c>
      <c r="E58" s="47" t="n">
        <f aca="false">IFERROR(SUMIFS(INDEX(本週_2027!$D$2:$Z$300,0,MATCH($C58,本週_2027!$D$1:$Z$1,0)),本週_2027!$A$2:$A$300,"標打",本週_2027!$B$2:$B$300,"All Iscfm",本週_2027!$C$2:$C$300,$B58),0)</f>
        <v>12300</v>
      </c>
      <c r="F58" s="47" t="n">
        <f aca="false">IFERROR(SUMIFS(INDEX(前期_2027!$D$2:$Z$300,0,MATCH($C58,前期_2027!$D$1:$Z$1,0)),前期_2027!$A$2:$A$300,"標打",前期_2027!$B$2:$B$300,"All Iscfm",前期_2027!$C$2:$C$300,$B58),0)</f>
        <v>12300</v>
      </c>
      <c r="G58" s="47" t="n">
        <f aca="false">E58-F58</f>
        <v>0</v>
      </c>
      <c r="H58" s="48" t="n">
        <f aca="false">IF(F58=0,"",G58/F58)</f>
        <v>0</v>
      </c>
      <c r="I58" s="49" t="n">
        <f aca="false">IFERROR(SUMIFS(INDEX(本週_2027!$D$2:$Z$300,0,MATCH($C58,本週_2027!$D$1:$Z$1,0)),本週_2027!$A$2:$A$300,"NET_CMT_標打_成改後",本週_2027!$B$2:$B$300,"All Iscfm",本週_2027!$C$2:$C$300,$B58),0)</f>
        <v>22.51</v>
      </c>
      <c r="J58" s="49" t="n">
        <f aca="false">IFERROR(SUMIFS(INDEX(前期_2027!$D$2:$Z$300,0,MATCH($C58,前期_2027!$D$1:$Z$1,0)),前期_2027!$A$2:$A$300,"NET_CMT_標打_成改後",前期_2027!$B$2:$B$300,"All Iscfm",前期_2027!$C$2:$C$300,$B58),0)</f>
        <v>22.51</v>
      </c>
      <c r="K58" s="50" t="n">
        <f aca="false">I58-J58</f>
        <v>0</v>
      </c>
      <c r="L58" s="29" t="str">
        <f aca="false">IF($B58="All Program","",IF(OR(ABS(G58)&gt;=說明!$C$7,ABS(K58)&gt;=說明!$C$8),"需說明",""))</f>
        <v/>
      </c>
      <c r="M58" s="29" t="str">
        <f aca="false">IF(L58="需說明",COUNTIF($L$5:L58,"需說明"),"")</f>
        <v/>
      </c>
      <c r="N58" s="44"/>
      <c r="O58" s="44"/>
      <c r="P58" s="44"/>
    </row>
    <row r="59" customFormat="false" ht="15" hidden="false" customHeight="false" outlineLevel="0" collapsed="false">
      <c r="A59" s="45" t="n">
        <v>2027</v>
      </c>
      <c r="B59" s="29" t="s">
        <v>62</v>
      </c>
      <c r="C59" s="29" t="s">
        <v>69</v>
      </c>
      <c r="D59" s="29" t="s">
        <v>82</v>
      </c>
      <c r="E59" s="47" t="n">
        <f aca="false">IFERROR(SUMIFS(INDEX(本週_2027!$D$2:$Z$300,0,MATCH($C59,本週_2027!$D$1:$Z$1,0)),本週_2027!$A$2:$A$300,"標打",本週_2027!$B$2:$B$300,"All Iscfm",本週_2027!$C$2:$C$300,$B59),0)</f>
        <v>12300</v>
      </c>
      <c r="F59" s="47" t="n">
        <f aca="false">IFERROR(SUMIFS(INDEX(前期_2027!$D$2:$Z$300,0,MATCH($C59,前期_2027!$D$1:$Z$1,0)),前期_2027!$A$2:$A$300,"標打",前期_2027!$B$2:$B$300,"All Iscfm",前期_2027!$C$2:$C$300,$B59),0)</f>
        <v>12300</v>
      </c>
      <c r="G59" s="47" t="n">
        <f aca="false">E59-F59</f>
        <v>0</v>
      </c>
      <c r="H59" s="48" t="n">
        <f aca="false">IF(F59=0,"",G59/F59)</f>
        <v>0</v>
      </c>
      <c r="I59" s="49" t="n">
        <f aca="false">IFERROR(SUMIFS(INDEX(本週_2027!$D$2:$Z$300,0,MATCH($C59,本週_2027!$D$1:$Z$1,0)),本週_2027!$A$2:$A$300,"NET_CMT_標打_成改後",本週_2027!$B$2:$B$300,"All Iscfm",本週_2027!$C$2:$C$300,$B59),0)</f>
        <v>22.51</v>
      </c>
      <c r="J59" s="49" t="n">
        <f aca="false">IFERROR(SUMIFS(INDEX(前期_2027!$D$2:$Z$300,0,MATCH($C59,前期_2027!$D$1:$Z$1,0)),前期_2027!$A$2:$A$300,"NET_CMT_標打_成改後",前期_2027!$B$2:$B$300,"All Iscfm",前期_2027!$C$2:$C$300,$B59),0)</f>
        <v>22.51</v>
      </c>
      <c r="K59" s="50" t="n">
        <f aca="false">I59-J59</f>
        <v>0</v>
      </c>
      <c r="L59" s="29" t="str">
        <f aca="false">IF($B59="All Program","",IF(OR(ABS(G59)&gt;=說明!$C$7,ABS(K59)&gt;=說明!$C$8),"需說明",""))</f>
        <v/>
      </c>
      <c r="M59" s="29" t="str">
        <f aca="false">IF(L59="需說明",COUNTIF($L$5:L59,"需說明"),"")</f>
        <v/>
      </c>
      <c r="N59" s="44"/>
      <c r="O59" s="44"/>
      <c r="P59" s="44"/>
    </row>
    <row r="60" customFormat="false" ht="15" hidden="false" customHeight="false" outlineLevel="0" collapsed="false">
      <c r="A60" s="45" t="n">
        <v>2027</v>
      </c>
      <c r="B60" s="29" t="s">
        <v>31</v>
      </c>
      <c r="C60" s="29" t="n">
        <v>2027</v>
      </c>
      <c r="D60" s="46" t="s">
        <v>78</v>
      </c>
      <c r="E60" s="47" t="n">
        <f aca="false">IFERROR(SUMIFS(INDEX(本週_2027!$D$2:$Z$300,0,MATCH($C60,本週_2027!$D$1:$Z$1,0)),本週_2027!$A$2:$A$300,"標打",本週_2027!$B$2:$B$300,"All Iscfm",本週_2027!$C$2:$C$300,$B60),0)</f>
        <v>481019.6</v>
      </c>
      <c r="F60" s="47" t="n">
        <f aca="false">IFERROR(SUMIFS(INDEX(前期_2027!$D$2:$Z$300,0,MATCH($C60,前期_2027!$D$1:$Z$1,0)),前期_2027!$A$2:$A$300,"標打",前期_2027!$B$2:$B$300,"All Iscfm",前期_2027!$C$2:$C$300,$B60),0)</f>
        <v>481019.6</v>
      </c>
      <c r="G60" s="47" t="n">
        <f aca="false">E60-F60</f>
        <v>0</v>
      </c>
      <c r="H60" s="48" t="n">
        <f aca="false">IF(F60=0,"",G60/F60)</f>
        <v>0</v>
      </c>
      <c r="I60" s="49" t="n">
        <f aca="false">IFERROR(SUMIFS(INDEX(本週_2027!$D$2:$Z$300,0,MATCH($C60,本週_2027!$D$1:$Z$1,0)),本週_2027!$A$2:$A$300,"NET_CMT_標打_成改後",本週_2027!$B$2:$B$300,"All Iscfm",本週_2027!$C$2:$C$300,$B60),0)</f>
        <v>19.15</v>
      </c>
      <c r="J60" s="49" t="n">
        <f aca="false">IFERROR(SUMIFS(INDEX(前期_2027!$D$2:$Z$300,0,MATCH($C60,前期_2027!$D$1:$Z$1,0)),前期_2027!$A$2:$A$300,"NET_CMT_標打_成改後",前期_2027!$B$2:$B$300,"All Iscfm",前期_2027!$C$2:$C$300,$B60),0)</f>
        <v>19.15</v>
      </c>
      <c r="K60" s="50" t="n">
        <f aca="false">I60-J60</f>
        <v>0</v>
      </c>
      <c r="L60" s="29" t="str">
        <f aca="false">IF($B60="All Program","",IF(OR(ABS(G60)&gt;=說明!$C$7,ABS(K60)&gt;=說明!$C$8),"需說明",""))</f>
        <v/>
      </c>
      <c r="M60" s="29" t="str">
        <f aca="false">IF(L60="需說明",COUNTIF($L$5:L60,"需說明"),"")</f>
        <v/>
      </c>
      <c r="N60" s="44"/>
      <c r="O60" s="44"/>
      <c r="P60" s="44"/>
    </row>
    <row r="61" customFormat="false" ht="15" hidden="false" customHeight="false" outlineLevel="0" collapsed="false">
      <c r="A61" s="45" t="n">
        <v>2027</v>
      </c>
      <c r="B61" s="29" t="s">
        <v>31</v>
      </c>
      <c r="C61" s="29" t="s">
        <v>66</v>
      </c>
      <c r="D61" s="29" t="s">
        <v>79</v>
      </c>
      <c r="E61" s="47" t="n">
        <f aca="false">IFERROR(SUMIFS(INDEX(本週_2027!$D$2:$Z$300,0,MATCH($C61,本週_2027!$D$1:$Z$1,0)),本週_2027!$A$2:$A$300,"標打",本週_2027!$B$2:$B$300,"All Iscfm",本週_2027!$C$2:$C$300,$B61),0)</f>
        <v>92504.1</v>
      </c>
      <c r="F61" s="47" t="n">
        <f aca="false">IFERROR(SUMIFS(INDEX(前期_2027!$D$2:$Z$300,0,MATCH($C61,前期_2027!$D$1:$Z$1,0)),前期_2027!$A$2:$A$300,"標打",前期_2027!$B$2:$B$300,"All Iscfm",前期_2027!$C$2:$C$300,$B61),0)</f>
        <v>92504.1</v>
      </c>
      <c r="G61" s="47" t="n">
        <f aca="false">E61-F61</f>
        <v>0</v>
      </c>
      <c r="H61" s="48" t="n">
        <f aca="false">IF(F61=0,"",G61/F61)</f>
        <v>0</v>
      </c>
      <c r="I61" s="49" t="n">
        <f aca="false">IFERROR(SUMIFS(INDEX(本週_2027!$D$2:$Z$300,0,MATCH($C61,本週_2027!$D$1:$Z$1,0)),本週_2027!$A$2:$A$300,"NET_CMT_標打_成改後",本週_2027!$B$2:$B$300,"All Iscfm",本週_2027!$C$2:$C$300,$B61),0)</f>
        <v>19.21</v>
      </c>
      <c r="J61" s="49" t="n">
        <f aca="false">IFERROR(SUMIFS(INDEX(前期_2027!$D$2:$Z$300,0,MATCH($C61,前期_2027!$D$1:$Z$1,0)),前期_2027!$A$2:$A$300,"NET_CMT_標打_成改後",前期_2027!$B$2:$B$300,"All Iscfm",前期_2027!$C$2:$C$300,$B61),0)</f>
        <v>19.21</v>
      </c>
      <c r="K61" s="50" t="n">
        <f aca="false">I61-J61</f>
        <v>0</v>
      </c>
      <c r="L61" s="29" t="str">
        <f aca="false">IF($B61="All Program","",IF(OR(ABS(G61)&gt;=說明!$C$7,ABS(K61)&gt;=說明!$C$8),"需說明",""))</f>
        <v/>
      </c>
      <c r="M61" s="29" t="str">
        <f aca="false">IF(L61="需說明",COUNTIF($L$5:L61,"需說明"),"")</f>
        <v/>
      </c>
      <c r="N61" s="44"/>
      <c r="O61" s="44"/>
      <c r="P61" s="44"/>
    </row>
    <row r="62" customFormat="false" ht="15" hidden="false" customHeight="false" outlineLevel="0" collapsed="false">
      <c r="A62" s="45" t="n">
        <v>2027</v>
      </c>
      <c r="B62" s="29" t="s">
        <v>31</v>
      </c>
      <c r="C62" s="29" t="s">
        <v>67</v>
      </c>
      <c r="D62" s="29" t="s">
        <v>80</v>
      </c>
      <c r="E62" s="47" t="n">
        <f aca="false">IFERROR(SUMIFS(INDEX(本週_2027!$D$2:$Z$300,0,MATCH($C62,本週_2027!$D$1:$Z$1,0)),本週_2027!$A$2:$A$300,"標打",本週_2027!$B$2:$B$300,"All Iscfm",本週_2027!$C$2:$C$300,$B62),0)</f>
        <v>111004.4</v>
      </c>
      <c r="F62" s="47" t="n">
        <f aca="false">IFERROR(SUMIFS(INDEX(前期_2027!$D$2:$Z$300,0,MATCH($C62,前期_2027!$D$1:$Z$1,0)),前期_2027!$A$2:$A$300,"標打",前期_2027!$B$2:$B$300,"All Iscfm",前期_2027!$C$2:$C$300,$B62),0)</f>
        <v>111004.4</v>
      </c>
      <c r="G62" s="47" t="n">
        <f aca="false">E62-F62</f>
        <v>0</v>
      </c>
      <c r="H62" s="48" t="n">
        <f aca="false">IF(F62=0,"",G62/F62)</f>
        <v>0</v>
      </c>
      <c r="I62" s="49" t="n">
        <f aca="false">IFERROR(SUMIFS(INDEX(本週_2027!$D$2:$Z$300,0,MATCH($C62,本週_2027!$D$1:$Z$1,0)),本週_2027!$A$2:$A$300,"NET_CMT_標打_成改後",本週_2027!$B$2:$B$300,"All Iscfm",本週_2027!$C$2:$C$300,$B62),0)</f>
        <v>19.14</v>
      </c>
      <c r="J62" s="49" t="n">
        <f aca="false">IFERROR(SUMIFS(INDEX(前期_2027!$D$2:$Z$300,0,MATCH($C62,前期_2027!$D$1:$Z$1,0)),前期_2027!$A$2:$A$300,"NET_CMT_標打_成改後",前期_2027!$B$2:$B$300,"All Iscfm",前期_2027!$C$2:$C$300,$B62),0)</f>
        <v>19.14</v>
      </c>
      <c r="K62" s="50" t="n">
        <f aca="false">I62-J62</f>
        <v>0</v>
      </c>
      <c r="L62" s="29" t="str">
        <f aca="false">IF($B62="All Program","",IF(OR(ABS(G62)&gt;=說明!$C$7,ABS(K62)&gt;=說明!$C$8),"需說明",""))</f>
        <v/>
      </c>
      <c r="M62" s="29" t="str">
        <f aca="false">IF(L62="需說明",COUNTIF($L$5:L62,"需說明"),"")</f>
        <v/>
      </c>
      <c r="N62" s="44"/>
      <c r="O62" s="44"/>
      <c r="P62" s="44"/>
    </row>
    <row r="63" customFormat="false" ht="15" hidden="false" customHeight="false" outlineLevel="0" collapsed="false">
      <c r="A63" s="45" t="n">
        <v>2027</v>
      </c>
      <c r="B63" s="29" t="s">
        <v>31</v>
      </c>
      <c r="C63" s="29" t="s">
        <v>68</v>
      </c>
      <c r="D63" s="29" t="s">
        <v>81</v>
      </c>
      <c r="E63" s="47" t="n">
        <f aca="false">IFERROR(SUMIFS(INDEX(本週_2027!$D$2:$Z$300,0,MATCH($C63,本週_2027!$D$1:$Z$1,0)),本週_2027!$A$2:$A$300,"標打",本週_2027!$B$2:$B$300,"All Iscfm",本週_2027!$C$2:$C$300,$B63),0)</f>
        <v>138755.6</v>
      </c>
      <c r="F63" s="47" t="n">
        <f aca="false">IFERROR(SUMIFS(INDEX(前期_2027!$D$2:$Z$300,0,MATCH($C63,前期_2027!$D$1:$Z$1,0)),前期_2027!$A$2:$A$300,"標打",前期_2027!$B$2:$B$300,"All Iscfm",前期_2027!$C$2:$C$300,$B63),0)</f>
        <v>138755.6</v>
      </c>
      <c r="G63" s="47" t="n">
        <f aca="false">E63-F63</f>
        <v>0</v>
      </c>
      <c r="H63" s="48" t="n">
        <f aca="false">IF(F63=0,"",G63/F63)</f>
        <v>0</v>
      </c>
      <c r="I63" s="49" t="n">
        <f aca="false">IFERROR(SUMIFS(INDEX(本週_2027!$D$2:$Z$300,0,MATCH($C63,本週_2027!$D$1:$Z$1,0)),本週_2027!$A$2:$A$300,"NET_CMT_標打_成改後",本週_2027!$B$2:$B$300,"All Iscfm",本週_2027!$C$2:$C$300,$B63),0)</f>
        <v>19.14</v>
      </c>
      <c r="J63" s="49" t="n">
        <f aca="false">IFERROR(SUMIFS(INDEX(前期_2027!$D$2:$Z$300,0,MATCH($C63,前期_2027!$D$1:$Z$1,0)),前期_2027!$A$2:$A$300,"NET_CMT_標打_成改後",前期_2027!$B$2:$B$300,"All Iscfm",前期_2027!$C$2:$C$300,$B63),0)</f>
        <v>19.14</v>
      </c>
      <c r="K63" s="50" t="n">
        <f aca="false">I63-J63</f>
        <v>0</v>
      </c>
      <c r="L63" s="29" t="str">
        <f aca="false">IF($B63="All Program","",IF(OR(ABS(G63)&gt;=說明!$C$7,ABS(K63)&gt;=說明!$C$8),"需說明",""))</f>
        <v/>
      </c>
      <c r="M63" s="29" t="str">
        <f aca="false">IF(L63="需說明",COUNTIF($L$5:L63,"需說明"),"")</f>
        <v/>
      </c>
      <c r="N63" s="44"/>
      <c r="O63" s="44"/>
      <c r="P63" s="44"/>
    </row>
    <row r="64" customFormat="false" ht="15" hidden="false" customHeight="false" outlineLevel="0" collapsed="false">
      <c r="A64" s="45" t="n">
        <v>2027</v>
      </c>
      <c r="B64" s="29" t="s">
        <v>31</v>
      </c>
      <c r="C64" s="29" t="s">
        <v>69</v>
      </c>
      <c r="D64" s="29" t="s">
        <v>82</v>
      </c>
      <c r="E64" s="47" t="n">
        <f aca="false">IFERROR(SUMIFS(INDEX(本週_2027!$D$2:$Z$300,0,MATCH($C64,本週_2027!$D$1:$Z$1,0)),本週_2027!$A$2:$A$300,"標打",本週_2027!$B$2:$B$300,"All Iscfm",本週_2027!$C$2:$C$300,$B64),0)</f>
        <v>138755.6</v>
      </c>
      <c r="F64" s="47" t="n">
        <f aca="false">IFERROR(SUMIFS(INDEX(前期_2027!$D$2:$Z$300,0,MATCH($C64,前期_2027!$D$1:$Z$1,0)),前期_2027!$A$2:$A$300,"標打",前期_2027!$B$2:$B$300,"All Iscfm",前期_2027!$C$2:$C$300,$B64),0)</f>
        <v>138755.6</v>
      </c>
      <c r="G64" s="47" t="n">
        <f aca="false">E64-F64</f>
        <v>0</v>
      </c>
      <c r="H64" s="48" t="n">
        <f aca="false">IF(F64=0,"",G64/F64)</f>
        <v>0</v>
      </c>
      <c r="I64" s="49" t="n">
        <f aca="false">IFERROR(SUMIFS(INDEX(本週_2027!$D$2:$Z$300,0,MATCH($C64,本週_2027!$D$1:$Z$1,0)),本週_2027!$A$2:$A$300,"NET_CMT_標打_成改後",本週_2027!$B$2:$B$300,"All Iscfm",本週_2027!$C$2:$C$300,$B64),0)</f>
        <v>19.14</v>
      </c>
      <c r="J64" s="49" t="n">
        <f aca="false">IFERROR(SUMIFS(INDEX(前期_2027!$D$2:$Z$300,0,MATCH($C64,前期_2027!$D$1:$Z$1,0)),前期_2027!$A$2:$A$300,"NET_CMT_標打_成改後",前期_2027!$B$2:$B$300,"All Iscfm",前期_2027!$C$2:$C$300,$B64),0)</f>
        <v>19.14</v>
      </c>
      <c r="K64" s="50" t="n">
        <f aca="false">I64-J64</f>
        <v>0</v>
      </c>
      <c r="L64" s="29" t="str">
        <f aca="false">IF($B64="All Program","",IF(OR(ABS(G64)&gt;=說明!$C$7,ABS(K64)&gt;=說明!$C$8),"需說明",""))</f>
        <v/>
      </c>
      <c r="M64" s="29" t="str">
        <f aca="false">IF(L64="需說明",COUNTIF($L$5:L64,"需說明"),"")</f>
        <v/>
      </c>
      <c r="N64" s="44"/>
      <c r="O64" s="44"/>
      <c r="P64" s="44"/>
    </row>
    <row r="65" customFormat="false" ht="15" hidden="false" customHeight="false" outlineLevel="0" collapsed="false">
      <c r="A65" s="45" t="n">
        <v>2027</v>
      </c>
      <c r="B65" s="29" t="s">
        <v>63</v>
      </c>
      <c r="C65" s="29" t="n">
        <v>2027</v>
      </c>
      <c r="D65" s="46" t="s">
        <v>78</v>
      </c>
      <c r="E65" s="47" t="n">
        <f aca="false">IFERROR(SUMIFS(INDEX(本週_2027!$D$2:$Z$300,0,MATCH($C65,本週_2027!$D$1:$Z$1,0)),本週_2027!$A$2:$A$300,"標打",本週_2027!$B$2:$B$300,"All Iscfm",本週_2027!$C$2:$C$300,$B65),0)</f>
        <v>14640.2</v>
      </c>
      <c r="F65" s="47" t="n">
        <f aca="false">IFERROR(SUMIFS(INDEX(前期_2027!$D$2:$Z$300,0,MATCH($C65,前期_2027!$D$1:$Z$1,0)),前期_2027!$A$2:$A$300,"標打",前期_2027!$B$2:$B$300,"All Iscfm",前期_2027!$C$2:$C$300,$B65),0)</f>
        <v>14640.2</v>
      </c>
      <c r="G65" s="47" t="n">
        <f aca="false">E65-F65</f>
        <v>0</v>
      </c>
      <c r="H65" s="48" t="n">
        <f aca="false">IF(F65=0,"",G65/F65)</f>
        <v>0</v>
      </c>
      <c r="I65" s="49" t="n">
        <f aca="false">IFERROR(SUMIFS(INDEX(本週_2027!$D$2:$Z$300,0,MATCH($C65,本週_2027!$D$1:$Z$1,0)),本週_2027!$A$2:$A$300,"NET_CMT_標打_成改後",本週_2027!$B$2:$B$300,"All Iscfm",本週_2027!$C$2:$C$300,$B65),0)</f>
        <v>20.31</v>
      </c>
      <c r="J65" s="49" t="n">
        <f aca="false">IFERROR(SUMIFS(INDEX(前期_2027!$D$2:$Z$300,0,MATCH($C65,前期_2027!$D$1:$Z$1,0)),前期_2027!$A$2:$A$300,"NET_CMT_標打_成改後",前期_2027!$B$2:$B$300,"All Iscfm",前期_2027!$C$2:$C$300,$B65),0)</f>
        <v>20.31</v>
      </c>
      <c r="K65" s="50" t="n">
        <f aca="false">I65-J65</f>
        <v>0</v>
      </c>
      <c r="L65" s="29" t="str">
        <f aca="false">IF($B65="All Program","",IF(OR(ABS(G65)&gt;=說明!$C$7,ABS(K65)&gt;=說明!$C$8),"需說明",""))</f>
        <v/>
      </c>
      <c r="M65" s="29" t="str">
        <f aca="false">IF(L65="需說明",COUNTIF($L$5:L65,"需說明"),"")</f>
        <v/>
      </c>
      <c r="N65" s="44"/>
      <c r="O65" s="44"/>
      <c r="P65" s="44"/>
    </row>
    <row r="66" customFormat="false" ht="15" hidden="false" customHeight="false" outlineLevel="0" collapsed="false">
      <c r="A66" s="45" t="n">
        <v>2027</v>
      </c>
      <c r="B66" s="29" t="s">
        <v>63</v>
      </c>
      <c r="C66" s="29" t="s">
        <v>66</v>
      </c>
      <c r="D66" s="29" t="s">
        <v>79</v>
      </c>
      <c r="E66" s="47" t="n">
        <f aca="false">IFERROR(SUMIFS(INDEX(本週_2027!$D$2:$Z$300,0,MATCH($C66,本週_2027!$D$1:$Z$1,0)),本週_2027!$A$2:$A$300,"標打",本週_2027!$B$2:$B$300,"All Iscfm",本週_2027!$C$2:$C$300,$B66),0)</f>
        <v>3544.6</v>
      </c>
      <c r="F66" s="47" t="n">
        <f aca="false">IFERROR(SUMIFS(INDEX(前期_2027!$D$2:$Z$300,0,MATCH($C66,前期_2027!$D$1:$Z$1,0)),前期_2027!$A$2:$A$300,"標打",前期_2027!$B$2:$B$300,"All Iscfm",前期_2027!$C$2:$C$300,$B66),0)</f>
        <v>3544.6</v>
      </c>
      <c r="G66" s="47" t="n">
        <f aca="false">E66-F66</f>
        <v>0</v>
      </c>
      <c r="H66" s="48" t="n">
        <f aca="false">IF(F66=0,"",G66/F66)</f>
        <v>0</v>
      </c>
      <c r="I66" s="49" t="n">
        <f aca="false">IFERROR(SUMIFS(INDEX(本週_2027!$D$2:$Z$300,0,MATCH($C66,本週_2027!$D$1:$Z$1,0)),本週_2027!$A$2:$A$300,"NET_CMT_標打_成改後",本週_2027!$B$2:$B$300,"All Iscfm",本週_2027!$C$2:$C$300,$B66),0)</f>
        <v>20.31</v>
      </c>
      <c r="J66" s="49" t="n">
        <f aca="false">IFERROR(SUMIFS(INDEX(前期_2027!$D$2:$Z$300,0,MATCH($C66,前期_2027!$D$1:$Z$1,0)),前期_2027!$A$2:$A$300,"NET_CMT_標打_成改後",前期_2027!$B$2:$B$300,"All Iscfm",前期_2027!$C$2:$C$300,$B66),0)</f>
        <v>20.31</v>
      </c>
      <c r="K66" s="50" t="n">
        <f aca="false">I66-J66</f>
        <v>0</v>
      </c>
      <c r="L66" s="29" t="str">
        <f aca="false">IF($B66="All Program","",IF(OR(ABS(G66)&gt;=說明!$C$7,ABS(K66)&gt;=說明!$C$8),"需說明",""))</f>
        <v/>
      </c>
      <c r="M66" s="29" t="str">
        <f aca="false">IF(L66="需說明",COUNTIF($L$5:L66,"需說明"),"")</f>
        <v/>
      </c>
      <c r="N66" s="44"/>
      <c r="O66" s="44"/>
      <c r="P66" s="44"/>
    </row>
    <row r="67" customFormat="false" ht="15" hidden="false" customHeight="false" outlineLevel="0" collapsed="false">
      <c r="A67" s="45" t="n">
        <v>2027</v>
      </c>
      <c r="B67" s="29" t="s">
        <v>63</v>
      </c>
      <c r="C67" s="29" t="s">
        <v>67</v>
      </c>
      <c r="D67" s="29" t="s">
        <v>80</v>
      </c>
      <c r="E67" s="47" t="n">
        <f aca="false">IFERROR(SUMIFS(INDEX(本週_2027!$D$2:$Z$300,0,MATCH($C67,本週_2027!$D$1:$Z$1,0)),本週_2027!$A$2:$A$300,"標打",本週_2027!$B$2:$B$300,"All Iscfm",本週_2027!$C$2:$C$300,$B67),0)</f>
        <v>3698.5</v>
      </c>
      <c r="F67" s="47" t="n">
        <f aca="false">IFERROR(SUMIFS(INDEX(前期_2027!$D$2:$Z$300,0,MATCH($C67,前期_2027!$D$1:$Z$1,0)),前期_2027!$A$2:$A$300,"標打",前期_2027!$B$2:$B$300,"All Iscfm",前期_2027!$C$2:$C$300,$B67),0)</f>
        <v>3698.5</v>
      </c>
      <c r="G67" s="47" t="n">
        <f aca="false">E67-F67</f>
        <v>0</v>
      </c>
      <c r="H67" s="48" t="n">
        <f aca="false">IF(F67=0,"",G67/F67)</f>
        <v>0</v>
      </c>
      <c r="I67" s="49" t="n">
        <f aca="false">IFERROR(SUMIFS(INDEX(本週_2027!$D$2:$Z$300,0,MATCH($C67,本週_2027!$D$1:$Z$1,0)),本週_2027!$A$2:$A$300,"NET_CMT_標打_成改後",本週_2027!$B$2:$B$300,"All Iscfm",本週_2027!$C$2:$C$300,$B67),0)</f>
        <v>20.31</v>
      </c>
      <c r="J67" s="49" t="n">
        <f aca="false">IFERROR(SUMIFS(INDEX(前期_2027!$D$2:$Z$300,0,MATCH($C67,前期_2027!$D$1:$Z$1,0)),前期_2027!$A$2:$A$300,"NET_CMT_標打_成改後",前期_2027!$B$2:$B$300,"All Iscfm",前期_2027!$C$2:$C$300,$B67),0)</f>
        <v>20.31</v>
      </c>
      <c r="K67" s="50" t="n">
        <f aca="false">I67-J67</f>
        <v>0</v>
      </c>
      <c r="L67" s="29" t="str">
        <f aca="false">IF($B67="All Program","",IF(OR(ABS(G67)&gt;=說明!$C$7,ABS(K67)&gt;=說明!$C$8),"需說明",""))</f>
        <v/>
      </c>
      <c r="M67" s="29" t="str">
        <f aca="false">IF(L67="需說明",COUNTIF($L$5:L67,"需說明"),"")</f>
        <v/>
      </c>
      <c r="N67" s="44"/>
      <c r="O67" s="44"/>
      <c r="P67" s="44"/>
    </row>
    <row r="68" customFormat="false" ht="15" hidden="false" customHeight="false" outlineLevel="0" collapsed="false">
      <c r="A68" s="45" t="n">
        <v>2027</v>
      </c>
      <c r="B68" s="29" t="s">
        <v>63</v>
      </c>
      <c r="C68" s="29" t="s">
        <v>68</v>
      </c>
      <c r="D68" s="29" t="s">
        <v>81</v>
      </c>
      <c r="E68" s="47" t="n">
        <f aca="false">IFERROR(SUMIFS(INDEX(本週_2027!$D$2:$Z$300,0,MATCH($C68,本週_2027!$D$1:$Z$1,0)),本週_2027!$A$2:$A$300,"標打",本週_2027!$B$2:$B$300,"All Iscfm",本週_2027!$C$2:$C$300,$B68),0)</f>
        <v>3698.5</v>
      </c>
      <c r="F68" s="47" t="n">
        <f aca="false">IFERROR(SUMIFS(INDEX(前期_2027!$D$2:$Z$300,0,MATCH($C68,前期_2027!$D$1:$Z$1,0)),前期_2027!$A$2:$A$300,"標打",前期_2027!$B$2:$B$300,"All Iscfm",前期_2027!$C$2:$C$300,$B68),0)</f>
        <v>3698.5</v>
      </c>
      <c r="G68" s="47" t="n">
        <f aca="false">E68-F68</f>
        <v>0</v>
      </c>
      <c r="H68" s="48" t="n">
        <f aca="false">IF(F68=0,"",G68/F68)</f>
        <v>0</v>
      </c>
      <c r="I68" s="49" t="n">
        <f aca="false">IFERROR(SUMIFS(INDEX(本週_2027!$D$2:$Z$300,0,MATCH($C68,本週_2027!$D$1:$Z$1,0)),本週_2027!$A$2:$A$300,"NET_CMT_標打_成改後",本週_2027!$B$2:$B$300,"All Iscfm",本週_2027!$C$2:$C$300,$B68),0)</f>
        <v>20.31</v>
      </c>
      <c r="J68" s="49" t="n">
        <f aca="false">IFERROR(SUMIFS(INDEX(前期_2027!$D$2:$Z$300,0,MATCH($C68,前期_2027!$D$1:$Z$1,0)),前期_2027!$A$2:$A$300,"NET_CMT_標打_成改後",前期_2027!$B$2:$B$300,"All Iscfm",前期_2027!$C$2:$C$300,$B68),0)</f>
        <v>20.31</v>
      </c>
      <c r="K68" s="50" t="n">
        <f aca="false">I68-J68</f>
        <v>0</v>
      </c>
      <c r="L68" s="29" t="str">
        <f aca="false">IF($B68="All Program","",IF(OR(ABS(G68)&gt;=說明!$C$7,ABS(K68)&gt;=說明!$C$8),"需說明",""))</f>
        <v/>
      </c>
      <c r="M68" s="29" t="str">
        <f aca="false">IF(L68="需說明",COUNTIF($L$5:L68,"需說明"),"")</f>
        <v/>
      </c>
      <c r="N68" s="44"/>
      <c r="O68" s="44"/>
      <c r="P68" s="44"/>
    </row>
    <row r="69" customFormat="false" ht="15" hidden="false" customHeight="false" outlineLevel="0" collapsed="false">
      <c r="A69" s="45" t="n">
        <v>2027</v>
      </c>
      <c r="B69" s="29" t="s">
        <v>63</v>
      </c>
      <c r="C69" s="29" t="s">
        <v>69</v>
      </c>
      <c r="D69" s="29" t="s">
        <v>82</v>
      </c>
      <c r="E69" s="47" t="n">
        <f aca="false">IFERROR(SUMIFS(INDEX(本週_2027!$D$2:$Z$300,0,MATCH($C69,本週_2027!$D$1:$Z$1,0)),本週_2027!$A$2:$A$300,"標打",本週_2027!$B$2:$B$300,"All Iscfm",本週_2027!$C$2:$C$300,$B69),0)</f>
        <v>3698.5</v>
      </c>
      <c r="F69" s="47" t="n">
        <f aca="false">IFERROR(SUMIFS(INDEX(前期_2027!$D$2:$Z$300,0,MATCH($C69,前期_2027!$D$1:$Z$1,0)),前期_2027!$A$2:$A$300,"標打",前期_2027!$B$2:$B$300,"All Iscfm",前期_2027!$C$2:$C$300,$B69),0)</f>
        <v>3698.5</v>
      </c>
      <c r="G69" s="47" t="n">
        <f aca="false">E69-F69</f>
        <v>0</v>
      </c>
      <c r="H69" s="48" t="n">
        <f aca="false">IF(F69=0,"",G69/F69)</f>
        <v>0</v>
      </c>
      <c r="I69" s="49" t="n">
        <f aca="false">IFERROR(SUMIFS(INDEX(本週_2027!$D$2:$Z$300,0,MATCH($C69,本週_2027!$D$1:$Z$1,0)),本週_2027!$A$2:$A$300,"NET_CMT_標打_成改後",本週_2027!$B$2:$B$300,"All Iscfm",本週_2027!$C$2:$C$300,$B69),0)</f>
        <v>20.31</v>
      </c>
      <c r="J69" s="49" t="n">
        <f aca="false">IFERROR(SUMIFS(INDEX(前期_2027!$D$2:$Z$300,0,MATCH($C69,前期_2027!$D$1:$Z$1,0)),前期_2027!$A$2:$A$300,"NET_CMT_標打_成改後",前期_2027!$B$2:$B$300,"All Iscfm",前期_2027!$C$2:$C$300,$B69),0)</f>
        <v>20.31</v>
      </c>
      <c r="K69" s="50" t="n">
        <f aca="false">I69-J69</f>
        <v>0</v>
      </c>
      <c r="L69" s="29" t="str">
        <f aca="false">IF($B69="All Program","",IF(OR(ABS(G69)&gt;=說明!$C$7,ABS(K69)&gt;=說明!$C$8),"需說明",""))</f>
        <v/>
      </c>
      <c r="M69" s="29" t="str">
        <f aca="false">IF(L69="需說明",COUNTIF($L$5:L69,"需說明"),"")</f>
        <v/>
      </c>
      <c r="N69" s="44"/>
      <c r="O69" s="44"/>
      <c r="P69" s="44"/>
    </row>
    <row r="70" customFormat="false" ht="15" hidden="false" customHeight="false" outlineLevel="0" collapsed="false">
      <c r="A70" s="45" t="n">
        <v>2027</v>
      </c>
      <c r="B70" s="29" t="s">
        <v>64</v>
      </c>
      <c r="C70" s="29" t="n">
        <v>2027</v>
      </c>
      <c r="D70" s="46" t="s">
        <v>78</v>
      </c>
      <c r="E70" s="47" t="n">
        <f aca="false">IFERROR(SUMIFS(INDEX(本週_2027!$D$2:$Z$300,0,MATCH($C70,本週_2027!$D$1:$Z$1,0)),本週_2027!$A$2:$A$300,"標打",本週_2027!$B$2:$B$300,"All Iscfm",本週_2027!$C$2:$C$300,$B70),0)</f>
        <v>190045.4</v>
      </c>
      <c r="F70" s="47" t="n">
        <f aca="false">IFERROR(SUMIFS(INDEX(前期_2027!$D$2:$Z$300,0,MATCH($C70,前期_2027!$D$1:$Z$1,0)),前期_2027!$A$2:$A$300,"標打",前期_2027!$B$2:$B$300,"All Iscfm",前期_2027!$C$2:$C$300,$B70),0)</f>
        <v>190045.4</v>
      </c>
      <c r="G70" s="47" t="n">
        <f aca="false">E70-F70</f>
        <v>0</v>
      </c>
      <c r="H70" s="48" t="n">
        <f aca="false">IF(F70=0,"",G70/F70)</f>
        <v>0</v>
      </c>
      <c r="I70" s="49" t="n">
        <f aca="false">IFERROR(SUMIFS(INDEX(本週_2027!$D$2:$Z$300,0,MATCH($C70,本週_2027!$D$1:$Z$1,0)),本週_2027!$A$2:$A$300,"NET_CMT_標打_成改後",本週_2027!$B$2:$B$300,"All Iscfm",本週_2027!$C$2:$C$300,$B70),0)</f>
        <v>16.76</v>
      </c>
      <c r="J70" s="49" t="n">
        <f aca="false">IFERROR(SUMIFS(INDEX(前期_2027!$D$2:$Z$300,0,MATCH($C70,前期_2027!$D$1:$Z$1,0)),前期_2027!$A$2:$A$300,"NET_CMT_標打_成改後",前期_2027!$B$2:$B$300,"All Iscfm",前期_2027!$C$2:$C$300,$B70),0)</f>
        <v>16.76</v>
      </c>
      <c r="K70" s="50" t="n">
        <f aca="false">I70-J70</f>
        <v>0</v>
      </c>
      <c r="L70" s="29" t="str">
        <f aca="false">IF($B70="All Program","",IF(OR(ABS(G70)&gt;=說明!$C$7,ABS(K70)&gt;=說明!$C$8),"需說明",""))</f>
        <v/>
      </c>
      <c r="M70" s="29" t="str">
        <f aca="false">IF(L70="需說明",COUNTIF($L$5:L70,"需說明"),"")</f>
        <v/>
      </c>
      <c r="N70" s="44"/>
      <c r="O70" s="44"/>
      <c r="P70" s="44"/>
    </row>
    <row r="71" customFormat="false" ht="15" hidden="false" customHeight="false" outlineLevel="0" collapsed="false">
      <c r="A71" s="45" t="n">
        <v>2027</v>
      </c>
      <c r="B71" s="29" t="s">
        <v>64</v>
      </c>
      <c r="C71" s="29" t="s">
        <v>66</v>
      </c>
      <c r="D71" s="29" t="s">
        <v>79</v>
      </c>
      <c r="E71" s="47" t="n">
        <f aca="false">IFERROR(SUMIFS(INDEX(本週_2027!$D$2:$Z$300,0,MATCH($C71,本週_2027!$D$1:$Z$1,0)),本週_2027!$A$2:$A$300,"標打",本週_2027!$B$2:$B$300,"All Iscfm",本週_2027!$C$2:$C$300,$B71),0)</f>
        <v>42038.2</v>
      </c>
      <c r="F71" s="47" t="n">
        <f aca="false">IFERROR(SUMIFS(INDEX(前期_2027!$D$2:$Z$300,0,MATCH($C71,前期_2027!$D$1:$Z$1,0)),前期_2027!$A$2:$A$300,"標打",前期_2027!$B$2:$B$300,"All Iscfm",前期_2027!$C$2:$C$300,$B71),0)</f>
        <v>42038.2</v>
      </c>
      <c r="G71" s="47" t="n">
        <f aca="false">E71-F71</f>
        <v>0</v>
      </c>
      <c r="H71" s="48" t="n">
        <f aca="false">IF(F71=0,"",G71/F71)</f>
        <v>0</v>
      </c>
      <c r="I71" s="49" t="n">
        <f aca="false">IFERROR(SUMIFS(INDEX(本週_2027!$D$2:$Z$300,0,MATCH($C71,本週_2027!$D$1:$Z$1,0)),本週_2027!$A$2:$A$300,"NET_CMT_標打_成改後",本週_2027!$B$2:$B$300,"All Iscfm",本週_2027!$C$2:$C$300,$B71),0)</f>
        <v>16.74</v>
      </c>
      <c r="J71" s="49" t="n">
        <f aca="false">IFERROR(SUMIFS(INDEX(前期_2027!$D$2:$Z$300,0,MATCH($C71,前期_2027!$D$1:$Z$1,0)),前期_2027!$A$2:$A$300,"NET_CMT_標打_成改後",前期_2027!$B$2:$B$300,"All Iscfm",前期_2027!$C$2:$C$300,$B71),0)</f>
        <v>16.74</v>
      </c>
      <c r="K71" s="50" t="n">
        <f aca="false">I71-J71</f>
        <v>0</v>
      </c>
      <c r="L71" s="29" t="str">
        <f aca="false">IF($B71="All Program","",IF(OR(ABS(G71)&gt;=說明!$C$7,ABS(K71)&gt;=說明!$C$8),"需說明",""))</f>
        <v/>
      </c>
      <c r="M71" s="29" t="str">
        <f aca="false">IF(L71="需說明",COUNTIF($L$5:L71,"需說明"),"")</f>
        <v/>
      </c>
      <c r="N71" s="44"/>
      <c r="O71" s="44"/>
      <c r="P71" s="44"/>
    </row>
    <row r="72" customFormat="false" ht="15" hidden="false" customHeight="false" outlineLevel="0" collapsed="false">
      <c r="A72" s="45" t="n">
        <v>2027</v>
      </c>
      <c r="B72" s="29" t="s">
        <v>64</v>
      </c>
      <c r="C72" s="29" t="s">
        <v>67</v>
      </c>
      <c r="D72" s="29" t="s">
        <v>80</v>
      </c>
      <c r="E72" s="47" t="n">
        <f aca="false">IFERROR(SUMIFS(INDEX(本週_2027!$D$2:$Z$300,0,MATCH($C72,本週_2027!$D$1:$Z$1,0)),本週_2027!$A$2:$A$300,"標打",本週_2027!$B$2:$B$300,"All Iscfm",本週_2027!$C$2:$C$300,$B72),0)</f>
        <v>48060.2</v>
      </c>
      <c r="F72" s="47" t="n">
        <f aca="false">IFERROR(SUMIFS(INDEX(前期_2027!$D$2:$Z$300,0,MATCH($C72,前期_2027!$D$1:$Z$1,0)),前期_2027!$A$2:$A$300,"標打",前期_2027!$B$2:$B$300,"All Iscfm",前期_2027!$C$2:$C$300,$B72),0)</f>
        <v>48060.2</v>
      </c>
      <c r="G72" s="47" t="n">
        <f aca="false">E72-F72</f>
        <v>0</v>
      </c>
      <c r="H72" s="48" t="n">
        <f aca="false">IF(F72=0,"",G72/F72)</f>
        <v>0</v>
      </c>
      <c r="I72" s="49" t="n">
        <f aca="false">IFERROR(SUMIFS(INDEX(本週_2027!$D$2:$Z$300,0,MATCH($C72,本週_2027!$D$1:$Z$1,0)),本週_2027!$A$2:$A$300,"NET_CMT_標打_成改後",本週_2027!$B$2:$B$300,"All Iscfm",本週_2027!$C$2:$C$300,$B72),0)</f>
        <v>16.86</v>
      </c>
      <c r="J72" s="49" t="n">
        <f aca="false">IFERROR(SUMIFS(INDEX(前期_2027!$D$2:$Z$300,0,MATCH($C72,前期_2027!$D$1:$Z$1,0)),前期_2027!$A$2:$A$300,"NET_CMT_標打_成改後",前期_2027!$B$2:$B$300,"All Iscfm",前期_2027!$C$2:$C$300,$B72),0)</f>
        <v>16.86</v>
      </c>
      <c r="K72" s="50" t="n">
        <f aca="false">I72-J72</f>
        <v>0</v>
      </c>
      <c r="L72" s="29" t="str">
        <f aca="false">IF($B72="All Program","",IF(OR(ABS(G72)&gt;=說明!$C$7,ABS(K72)&gt;=說明!$C$8),"需說明",""))</f>
        <v/>
      </c>
      <c r="M72" s="29" t="str">
        <f aca="false">IF(L72="需說明",COUNTIF($L$5:L72,"需說明"),"")</f>
        <v/>
      </c>
      <c r="N72" s="44"/>
      <c r="O72" s="44"/>
      <c r="P72" s="44"/>
    </row>
    <row r="73" customFormat="false" ht="15" hidden="false" customHeight="false" outlineLevel="0" collapsed="false">
      <c r="A73" s="45" t="n">
        <v>2027</v>
      </c>
      <c r="B73" s="29" t="s">
        <v>64</v>
      </c>
      <c r="C73" s="29" t="s">
        <v>68</v>
      </c>
      <c r="D73" s="29" t="s">
        <v>81</v>
      </c>
      <c r="E73" s="47" t="n">
        <f aca="false">IFERROR(SUMIFS(INDEX(本週_2027!$D$2:$Z$300,0,MATCH($C73,本週_2027!$D$1:$Z$1,0)),本週_2027!$A$2:$A$300,"標打",本週_2027!$B$2:$B$300,"All Iscfm",本週_2027!$C$2:$C$300,$B73),0)</f>
        <v>48057</v>
      </c>
      <c r="F73" s="47" t="n">
        <f aca="false">IFERROR(SUMIFS(INDEX(前期_2027!$D$2:$Z$300,0,MATCH($C73,前期_2027!$D$1:$Z$1,0)),前期_2027!$A$2:$A$300,"標打",前期_2027!$B$2:$B$300,"All Iscfm",前期_2027!$C$2:$C$300,$B73),0)</f>
        <v>48057</v>
      </c>
      <c r="G73" s="47" t="n">
        <f aca="false">E73-F73</f>
        <v>0</v>
      </c>
      <c r="H73" s="48" t="n">
        <f aca="false">IF(F73=0,"",G73/F73)</f>
        <v>0</v>
      </c>
      <c r="I73" s="49" t="n">
        <f aca="false">IFERROR(SUMIFS(INDEX(本週_2027!$D$2:$Z$300,0,MATCH($C73,本週_2027!$D$1:$Z$1,0)),本週_2027!$A$2:$A$300,"NET_CMT_標打_成改後",本週_2027!$B$2:$B$300,"All Iscfm",本週_2027!$C$2:$C$300,$B73),0)</f>
        <v>16.86</v>
      </c>
      <c r="J73" s="49" t="n">
        <f aca="false">IFERROR(SUMIFS(INDEX(前期_2027!$D$2:$Z$300,0,MATCH($C73,前期_2027!$D$1:$Z$1,0)),前期_2027!$A$2:$A$300,"NET_CMT_標打_成改後",前期_2027!$B$2:$B$300,"All Iscfm",前期_2027!$C$2:$C$300,$B73),0)</f>
        <v>16.86</v>
      </c>
      <c r="K73" s="50" t="n">
        <f aca="false">I73-J73</f>
        <v>0</v>
      </c>
      <c r="L73" s="29" t="str">
        <f aca="false">IF($B73="All Program","",IF(OR(ABS(G73)&gt;=說明!$C$7,ABS(K73)&gt;=說明!$C$8),"需說明",""))</f>
        <v/>
      </c>
      <c r="M73" s="29" t="str">
        <f aca="false">IF(L73="需說明",COUNTIF($L$5:L73,"需說明"),"")</f>
        <v/>
      </c>
      <c r="N73" s="44"/>
      <c r="O73" s="44"/>
      <c r="P73" s="44"/>
    </row>
    <row r="74" customFormat="false" ht="15" hidden="false" customHeight="false" outlineLevel="0" collapsed="false">
      <c r="A74" s="45" t="n">
        <v>2027</v>
      </c>
      <c r="B74" s="29" t="s">
        <v>64</v>
      </c>
      <c r="C74" s="29" t="s">
        <v>69</v>
      </c>
      <c r="D74" s="29" t="s">
        <v>82</v>
      </c>
      <c r="E74" s="47" t="n">
        <f aca="false">IFERROR(SUMIFS(INDEX(本週_2027!$D$2:$Z$300,0,MATCH($C74,本週_2027!$D$1:$Z$1,0)),本週_2027!$A$2:$A$300,"標打",本週_2027!$B$2:$B$300,"All Iscfm",本週_2027!$C$2:$C$300,$B74),0)</f>
        <v>51890.1</v>
      </c>
      <c r="F74" s="47" t="n">
        <f aca="false">IFERROR(SUMIFS(INDEX(前期_2027!$D$2:$Z$300,0,MATCH($C74,前期_2027!$D$1:$Z$1,0)),前期_2027!$A$2:$A$300,"標打",前期_2027!$B$2:$B$300,"All Iscfm",前期_2027!$C$2:$C$300,$B74),0)</f>
        <v>51890.1</v>
      </c>
      <c r="G74" s="47" t="n">
        <f aca="false">E74-F74</f>
        <v>0</v>
      </c>
      <c r="H74" s="48" t="n">
        <f aca="false">IF(F74=0,"",G74/F74)</f>
        <v>0</v>
      </c>
      <c r="I74" s="49" t="n">
        <f aca="false">IFERROR(SUMIFS(INDEX(本週_2027!$D$2:$Z$300,0,MATCH($C74,本週_2027!$D$1:$Z$1,0)),本週_2027!$A$2:$A$300,"NET_CMT_標打_成改後",本週_2027!$B$2:$B$300,"All Iscfm",本週_2027!$C$2:$C$300,$B74),0)</f>
        <v>16.58</v>
      </c>
      <c r="J74" s="49" t="n">
        <f aca="false">IFERROR(SUMIFS(INDEX(前期_2027!$D$2:$Z$300,0,MATCH($C74,前期_2027!$D$1:$Z$1,0)),前期_2027!$A$2:$A$300,"NET_CMT_標打_成改後",前期_2027!$B$2:$B$300,"All Iscfm",前期_2027!$C$2:$C$300,$B74),0)</f>
        <v>16.58</v>
      </c>
      <c r="K74" s="50" t="n">
        <f aca="false">I74-J74</f>
        <v>0</v>
      </c>
      <c r="L74" s="29" t="str">
        <f aca="false">IF($B74="All Program","",IF(OR(ABS(G74)&gt;=說明!$C$7,ABS(K74)&gt;=說明!$C$8),"需說明",""))</f>
        <v/>
      </c>
      <c r="M74" s="29" t="str">
        <f aca="false">IF(L74="需說明",COUNTIF($L$5:L74,"需說明"),"")</f>
        <v/>
      </c>
      <c r="N74" s="44"/>
      <c r="O74" s="44"/>
      <c r="P74" s="44"/>
    </row>
  </sheetData>
  <autoFilter ref="A4:P74"/>
  <conditionalFormatting sqref="A5:M74">
    <cfRule type="expression" priority="2" aboveAverage="0" equalAverage="0" bottom="0" percent="0" rank="0" text="" dxfId="7">
      <formula>$L5="需說明"</formula>
    </cfRule>
  </conditionalFormatting>
  <dataValidations count="1">
    <dataValidation allowBlank="true" errorStyle="stop" operator="between" showDropDown="false" showErrorMessage="false" showInputMessage="false" sqref="N5:N74" type="list">
      <formula1>"加單,減單,季別移動,改廠/轉單,取消,NCMT/單價調整,預估修正,其他"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8" min="6" style="0" width="10"/>
    <col collapsed="false" customWidth="true" hidden="false" outlineLevel="0" max="11" min="9" style="0" width="12"/>
  </cols>
  <sheetData>
    <row r="1" customFormat="false" ht="15" hidden="false" customHeight="false" outlineLevel="0" collapsed="false">
      <c r="D1" s="51" t="n">
        <v>2026</v>
      </c>
      <c r="E1" s="51" t="s">
        <v>53</v>
      </c>
      <c r="F1" s="51" t="s">
        <v>54</v>
      </c>
      <c r="G1" s="51" t="s">
        <v>55</v>
      </c>
      <c r="H1" s="51" t="s">
        <v>56</v>
      </c>
    </row>
    <row r="2" customFormat="false" ht="15" hidden="false" customHeight="false" outlineLevel="0" collapsed="false">
      <c r="A2" s="52" t="s">
        <v>83</v>
      </c>
      <c r="B2" s="53" t="s">
        <v>84</v>
      </c>
      <c r="C2" s="53" t="s">
        <v>77</v>
      </c>
      <c r="D2" s="54" t="n">
        <v>988688.2</v>
      </c>
      <c r="E2" s="54" t="n">
        <v>206294.1</v>
      </c>
      <c r="F2" s="54" t="n">
        <v>243675.4</v>
      </c>
      <c r="G2" s="54" t="n">
        <v>288629.2</v>
      </c>
      <c r="H2" s="54" t="n">
        <v>250089.5</v>
      </c>
    </row>
    <row r="3" customFormat="false" ht="15" hidden="false" customHeight="false" outlineLevel="0" collapsed="false">
      <c r="A3" s="52" t="s">
        <v>83</v>
      </c>
      <c r="B3" s="53" t="s">
        <v>84</v>
      </c>
      <c r="C3" s="53" t="s">
        <v>60</v>
      </c>
      <c r="D3" s="54" t="n">
        <v>66847.8</v>
      </c>
      <c r="E3" s="54" t="n">
        <v>9432.4</v>
      </c>
      <c r="F3" s="54" t="n">
        <v>21764.2</v>
      </c>
      <c r="G3" s="54" t="n">
        <v>17685.8</v>
      </c>
      <c r="H3" s="54" t="n">
        <v>17965.3</v>
      </c>
    </row>
    <row r="4" customFormat="false" ht="15" hidden="false" customHeight="false" outlineLevel="0" collapsed="false">
      <c r="A4" s="52" t="s">
        <v>83</v>
      </c>
      <c r="B4" s="53" t="s">
        <v>84</v>
      </c>
      <c r="C4" s="53" t="s">
        <v>61</v>
      </c>
      <c r="D4" s="54" t="n">
        <v>95393.1</v>
      </c>
      <c r="E4" s="54" t="n">
        <v>20595.7</v>
      </c>
      <c r="F4" s="54" t="n">
        <v>13833.8</v>
      </c>
      <c r="G4" s="54" t="n">
        <v>32195.7</v>
      </c>
      <c r="H4" s="54" t="n">
        <v>28767.8</v>
      </c>
    </row>
    <row r="5" customFormat="false" ht="15" hidden="false" customHeight="false" outlineLevel="0" collapsed="false">
      <c r="A5" s="52" t="s">
        <v>83</v>
      </c>
      <c r="B5" s="53" t="s">
        <v>84</v>
      </c>
      <c r="C5" s="53" t="s">
        <v>62</v>
      </c>
      <c r="D5" s="54" t="n">
        <v>65495.8</v>
      </c>
      <c r="E5" s="54" t="n">
        <v>25708.7</v>
      </c>
      <c r="F5" s="54" t="n">
        <v>10777.9</v>
      </c>
      <c r="G5" s="54" t="n">
        <v>8722.8</v>
      </c>
      <c r="H5" s="54" t="n">
        <v>20286.5</v>
      </c>
    </row>
    <row r="6" customFormat="false" ht="15" hidden="false" customHeight="false" outlineLevel="0" collapsed="false">
      <c r="A6" s="52" t="s">
        <v>83</v>
      </c>
      <c r="B6" s="53" t="s">
        <v>84</v>
      </c>
      <c r="C6" s="53" t="s">
        <v>31</v>
      </c>
      <c r="D6" s="54" t="n">
        <v>576887</v>
      </c>
      <c r="E6" s="54" t="n">
        <v>128117.1</v>
      </c>
      <c r="F6" s="54" t="n">
        <v>159076.9</v>
      </c>
      <c r="G6" s="54" t="n">
        <v>173112.2</v>
      </c>
      <c r="H6" s="54" t="n">
        <v>116580.8</v>
      </c>
    </row>
    <row r="7" customFormat="false" ht="15" hidden="false" customHeight="false" outlineLevel="0" collapsed="false">
      <c r="A7" s="52" t="s">
        <v>83</v>
      </c>
      <c r="B7" s="53" t="s">
        <v>84</v>
      </c>
      <c r="C7" s="53" t="s">
        <v>63</v>
      </c>
      <c r="D7" s="54" t="n">
        <v>21370.6</v>
      </c>
      <c r="E7" s="54" t="n">
        <v>6650.7</v>
      </c>
      <c r="F7" s="54" t="n">
        <v>3931.3</v>
      </c>
      <c r="G7" s="54" t="n">
        <v>5155.3</v>
      </c>
      <c r="H7" s="54" t="n">
        <v>5633.3</v>
      </c>
    </row>
    <row r="8" customFormat="false" ht="15" hidden="false" customHeight="false" outlineLevel="0" collapsed="false">
      <c r="A8" s="52" t="s">
        <v>83</v>
      </c>
      <c r="B8" s="53" t="s">
        <v>84</v>
      </c>
      <c r="C8" s="53" t="s">
        <v>64</v>
      </c>
      <c r="D8" s="54" t="n">
        <v>162693.9</v>
      </c>
      <c r="E8" s="54" t="n">
        <v>15789.4</v>
      </c>
      <c r="F8" s="54" t="n">
        <v>34291.3</v>
      </c>
      <c r="G8" s="54" t="n">
        <v>51757.4</v>
      </c>
      <c r="H8" s="54" t="n">
        <v>60855.8</v>
      </c>
    </row>
    <row r="9" customFormat="false" ht="15" hidden="false" customHeight="false" outlineLevel="0" collapsed="false">
      <c r="A9" s="53" t="s">
        <v>85</v>
      </c>
      <c r="B9" s="53" t="s">
        <v>84</v>
      </c>
      <c r="C9" s="53" t="s">
        <v>77</v>
      </c>
      <c r="D9" s="55" t="n">
        <v>19.16</v>
      </c>
      <c r="E9" s="55" t="n">
        <v>20.33</v>
      </c>
      <c r="F9" s="55" t="n">
        <v>19.57</v>
      </c>
      <c r="G9" s="55" t="n">
        <v>18.32</v>
      </c>
      <c r="H9" s="55" t="n">
        <v>18.77</v>
      </c>
    </row>
    <row r="10" customFormat="false" ht="15" hidden="false" customHeight="false" outlineLevel="0" collapsed="false">
      <c r="A10" s="53" t="s">
        <v>85</v>
      </c>
      <c r="B10" s="53" t="s">
        <v>84</v>
      </c>
      <c r="C10" s="53" t="s">
        <v>60</v>
      </c>
      <c r="D10" s="55" t="n">
        <v>20.09</v>
      </c>
      <c r="E10" s="55" t="n">
        <v>20.54</v>
      </c>
      <c r="F10" s="55" t="n">
        <v>21.05</v>
      </c>
      <c r="G10" s="55" t="n">
        <v>19.11</v>
      </c>
      <c r="H10" s="55" t="n">
        <v>19.66</v>
      </c>
    </row>
    <row r="11" customFormat="false" ht="15" hidden="false" customHeight="false" outlineLevel="0" collapsed="false">
      <c r="A11" s="53" t="s">
        <v>85</v>
      </c>
      <c r="B11" s="53" t="s">
        <v>84</v>
      </c>
      <c r="C11" s="53" t="s">
        <v>61</v>
      </c>
      <c r="D11" s="55" t="n">
        <v>17.93</v>
      </c>
      <c r="E11" s="55" t="n">
        <v>18.64</v>
      </c>
      <c r="F11" s="55" t="n">
        <v>17.89</v>
      </c>
      <c r="G11" s="55" t="n">
        <v>17.46</v>
      </c>
      <c r="H11" s="55" t="n">
        <v>17.96</v>
      </c>
    </row>
    <row r="12" customFormat="false" ht="15" hidden="false" customHeight="false" outlineLevel="0" collapsed="false">
      <c r="A12" s="53" t="s">
        <v>85</v>
      </c>
      <c r="B12" s="53" t="s">
        <v>84</v>
      </c>
      <c r="C12" s="53" t="s">
        <v>62</v>
      </c>
      <c r="D12" s="55" t="n">
        <v>22.68</v>
      </c>
      <c r="E12" s="55" t="n">
        <v>23.05</v>
      </c>
      <c r="F12" s="55" t="n">
        <v>23.07</v>
      </c>
      <c r="G12" s="55" t="n">
        <v>21.5</v>
      </c>
      <c r="H12" s="55" t="n">
        <v>22.5</v>
      </c>
    </row>
    <row r="13" customFormat="false" ht="15" hidden="false" customHeight="false" outlineLevel="0" collapsed="false">
      <c r="A13" s="53" t="s">
        <v>85</v>
      </c>
      <c r="B13" s="53" t="s">
        <v>84</v>
      </c>
      <c r="C13" s="53" t="s">
        <v>31</v>
      </c>
      <c r="D13" s="55" t="n">
        <v>19.31</v>
      </c>
      <c r="E13" s="55" t="n">
        <v>20.21</v>
      </c>
      <c r="F13" s="55" t="n">
        <v>19.62</v>
      </c>
      <c r="G13" s="55" t="n">
        <v>18.6</v>
      </c>
      <c r="H13" s="55" t="n">
        <v>18.97</v>
      </c>
    </row>
    <row r="14" customFormat="false" ht="15" hidden="false" customHeight="false" outlineLevel="0" collapsed="false">
      <c r="A14" s="53" t="s">
        <v>85</v>
      </c>
      <c r="B14" s="53" t="s">
        <v>84</v>
      </c>
      <c r="C14" s="53" t="s">
        <v>63</v>
      </c>
      <c r="D14" s="55" t="n">
        <v>20.7</v>
      </c>
      <c r="E14" s="55" t="n">
        <v>21.52</v>
      </c>
      <c r="F14" s="55" t="n">
        <v>20.77</v>
      </c>
      <c r="G14" s="55" t="n">
        <v>20.31</v>
      </c>
      <c r="H14" s="55" t="n">
        <v>20.06</v>
      </c>
    </row>
    <row r="15" customFormat="false" ht="15" hidden="false" customHeight="false" outlineLevel="0" collapsed="false">
      <c r="A15" s="53" t="s">
        <v>85</v>
      </c>
      <c r="B15" s="53" t="s">
        <v>84</v>
      </c>
      <c r="C15" s="53" t="s">
        <v>64</v>
      </c>
      <c r="D15" s="55" t="n">
        <v>17.29</v>
      </c>
      <c r="E15" s="55" t="n">
        <v>18.26</v>
      </c>
      <c r="F15" s="55" t="n">
        <v>17.66</v>
      </c>
      <c r="G15" s="55" t="n">
        <v>16.93</v>
      </c>
      <c r="H15" s="55" t="n">
        <v>17.15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8" min="6" style="0" width="10"/>
    <col collapsed="false" customWidth="true" hidden="false" outlineLevel="0" max="11" min="9" style="0" width="12"/>
  </cols>
  <sheetData>
    <row r="1" customFormat="false" ht="15" hidden="false" customHeight="false" outlineLevel="0" collapsed="false">
      <c r="D1" s="51" t="n">
        <v>2027</v>
      </c>
      <c r="E1" s="51" t="s">
        <v>66</v>
      </c>
      <c r="F1" s="56" t="n">
        <v>46388</v>
      </c>
      <c r="G1" s="56" t="n">
        <v>46419</v>
      </c>
      <c r="H1" s="56" t="n">
        <v>46447</v>
      </c>
      <c r="I1" s="51" t="s">
        <v>67</v>
      </c>
      <c r="J1" s="51" t="s">
        <v>68</v>
      </c>
      <c r="K1" s="51" t="s">
        <v>69</v>
      </c>
    </row>
    <row r="2" customFormat="false" ht="15" hidden="false" customHeight="false" outlineLevel="0" collapsed="false">
      <c r="A2" s="52" t="s">
        <v>83</v>
      </c>
      <c r="B2" s="53" t="s">
        <v>84</v>
      </c>
      <c r="C2" s="53" t="s">
        <v>77</v>
      </c>
      <c r="D2" s="54" t="n">
        <v>884101.9</v>
      </c>
      <c r="E2" s="54" t="n">
        <v>180615.5</v>
      </c>
      <c r="F2" s="54" t="n">
        <v>73736.5</v>
      </c>
      <c r="G2" s="54" t="n">
        <v>35306</v>
      </c>
      <c r="H2" s="54" t="n">
        <v>71573</v>
      </c>
      <c r="I2" s="54" t="n">
        <v>214719.1</v>
      </c>
      <c r="J2" s="54" t="n">
        <v>242467.1</v>
      </c>
      <c r="K2" s="54" t="n">
        <v>246300.1</v>
      </c>
    </row>
    <row r="3" customFormat="false" ht="15" hidden="false" customHeight="false" outlineLevel="0" collapsed="false">
      <c r="A3" s="52" t="s">
        <v>83</v>
      </c>
      <c r="B3" s="53" t="s">
        <v>84</v>
      </c>
      <c r="C3" s="53" t="s">
        <v>60</v>
      </c>
      <c r="D3" s="54" t="n">
        <v>67793.1</v>
      </c>
      <c r="E3" s="54" t="n">
        <v>14283.1</v>
      </c>
      <c r="F3" s="54" t="n">
        <v>5945.6</v>
      </c>
      <c r="G3" s="54" t="n">
        <v>2391.9</v>
      </c>
      <c r="H3" s="54" t="n">
        <v>5945.6</v>
      </c>
      <c r="I3" s="54" t="n">
        <v>17836.7</v>
      </c>
      <c r="J3" s="54" t="n">
        <v>17836.7</v>
      </c>
      <c r="K3" s="54" t="n">
        <v>17836.7</v>
      </c>
    </row>
    <row r="4" customFormat="false" ht="15" hidden="false" customHeight="false" outlineLevel="0" collapsed="false">
      <c r="A4" s="52" t="s">
        <v>83</v>
      </c>
      <c r="B4" s="53" t="s">
        <v>84</v>
      </c>
      <c r="C4" s="53" t="s">
        <v>61</v>
      </c>
      <c r="D4" s="54" t="n">
        <v>83453.6</v>
      </c>
      <c r="E4" s="54" t="n">
        <v>17995.6</v>
      </c>
      <c r="F4" s="54" t="n">
        <v>7273.1</v>
      </c>
      <c r="G4" s="54" t="n">
        <v>3449.4</v>
      </c>
      <c r="H4" s="54" t="n">
        <v>7273.1</v>
      </c>
      <c r="I4" s="54" t="n">
        <v>21819.3</v>
      </c>
      <c r="J4" s="54" t="n">
        <v>21819.3</v>
      </c>
      <c r="K4" s="54" t="n">
        <v>21819.3</v>
      </c>
    </row>
    <row r="5" customFormat="false" ht="15" hidden="false" customHeight="false" outlineLevel="0" collapsed="false">
      <c r="A5" s="52" t="s">
        <v>83</v>
      </c>
      <c r="B5" s="53" t="s">
        <v>84</v>
      </c>
      <c r="C5" s="53" t="s">
        <v>62</v>
      </c>
      <c r="D5" s="54" t="n">
        <v>47150</v>
      </c>
      <c r="E5" s="54" t="n">
        <v>10250</v>
      </c>
      <c r="F5" s="54" t="n">
        <v>4100</v>
      </c>
      <c r="G5" s="54" t="n">
        <v>2050</v>
      </c>
      <c r="H5" s="54" t="n">
        <v>4100</v>
      </c>
      <c r="I5" s="54" t="n">
        <v>12300</v>
      </c>
      <c r="J5" s="54" t="n">
        <v>12300</v>
      </c>
      <c r="K5" s="54" t="n">
        <v>12300</v>
      </c>
    </row>
    <row r="6" customFormat="false" ht="15" hidden="false" customHeight="false" outlineLevel="0" collapsed="false">
      <c r="A6" s="52" t="s">
        <v>83</v>
      </c>
      <c r="B6" s="53" t="s">
        <v>84</v>
      </c>
      <c r="C6" s="53" t="s">
        <v>31</v>
      </c>
      <c r="D6" s="54" t="n">
        <v>481019.6</v>
      </c>
      <c r="E6" s="54" t="n">
        <v>92504.1</v>
      </c>
      <c r="F6" s="54" t="n">
        <v>37001.5</v>
      </c>
      <c r="G6" s="54" t="n">
        <v>18501.1</v>
      </c>
      <c r="H6" s="54" t="n">
        <v>37001.5</v>
      </c>
      <c r="I6" s="54" t="n">
        <v>111004.4</v>
      </c>
      <c r="J6" s="54" t="n">
        <v>138755.6</v>
      </c>
      <c r="K6" s="54" t="n">
        <v>138755.6</v>
      </c>
    </row>
    <row r="7" customFormat="false" ht="15" hidden="false" customHeight="false" outlineLevel="0" collapsed="false">
      <c r="A7" s="52" t="s">
        <v>83</v>
      </c>
      <c r="B7" s="53" t="s">
        <v>84</v>
      </c>
      <c r="C7" s="53" t="s">
        <v>63</v>
      </c>
      <c r="D7" s="54" t="n">
        <v>14640.2</v>
      </c>
      <c r="E7" s="54" t="n">
        <v>3544.6</v>
      </c>
      <c r="F7" s="54" t="n">
        <v>1232.8</v>
      </c>
      <c r="G7" s="54" t="n">
        <v>1078.9</v>
      </c>
      <c r="H7" s="54" t="n">
        <v>1232.8</v>
      </c>
      <c r="I7" s="54" t="n">
        <v>3698.5</v>
      </c>
      <c r="J7" s="54" t="n">
        <v>3698.5</v>
      </c>
      <c r="K7" s="54" t="n">
        <v>3698.5</v>
      </c>
    </row>
    <row r="8" customFormat="false" ht="15" hidden="false" customHeight="false" outlineLevel="0" collapsed="false">
      <c r="A8" s="52" t="s">
        <v>83</v>
      </c>
      <c r="B8" s="53" t="s">
        <v>84</v>
      </c>
      <c r="C8" s="53" t="s">
        <v>64</v>
      </c>
      <c r="D8" s="54" t="n">
        <v>190045.4</v>
      </c>
      <c r="E8" s="54" t="n">
        <v>42038.2</v>
      </c>
      <c r="F8" s="54" t="n">
        <v>18183.5</v>
      </c>
      <c r="G8" s="54" t="n">
        <v>7834.7</v>
      </c>
      <c r="H8" s="54" t="n">
        <v>16020.1</v>
      </c>
      <c r="I8" s="54" t="n">
        <v>48060.2</v>
      </c>
      <c r="J8" s="54" t="n">
        <v>48057</v>
      </c>
      <c r="K8" s="54" t="n">
        <v>51890.1</v>
      </c>
    </row>
    <row r="9" customFormat="false" ht="15" hidden="false" customHeight="false" outlineLevel="0" collapsed="false">
      <c r="A9" s="52" t="s">
        <v>83</v>
      </c>
      <c r="B9" s="52" t="s">
        <v>86</v>
      </c>
      <c r="C9" s="53" t="s">
        <v>77</v>
      </c>
      <c r="D9" s="54" t="n">
        <v>8579.1</v>
      </c>
      <c r="E9" s="54" t="n">
        <v>8579.1</v>
      </c>
      <c r="F9" s="54" t="n">
        <v>8579.1</v>
      </c>
    </row>
    <row r="10" customFormat="false" ht="15" hidden="false" customHeight="false" outlineLevel="0" collapsed="false">
      <c r="A10" s="52" t="s">
        <v>83</v>
      </c>
      <c r="B10" s="52" t="s">
        <v>86</v>
      </c>
      <c r="C10" s="53" t="s">
        <v>64</v>
      </c>
      <c r="D10" s="54" t="n">
        <v>8579.1</v>
      </c>
      <c r="E10" s="54" t="n">
        <v>8579.1</v>
      </c>
      <c r="F10" s="54" t="n">
        <v>8579.1</v>
      </c>
    </row>
    <row r="11" customFormat="false" ht="15" hidden="false" customHeight="false" outlineLevel="0" collapsed="false">
      <c r="A11" s="52" t="s">
        <v>83</v>
      </c>
      <c r="B11" s="52" t="s">
        <v>87</v>
      </c>
      <c r="C11" s="53" t="s">
        <v>77</v>
      </c>
      <c r="D11" s="54" t="n">
        <v>875522.8</v>
      </c>
      <c r="E11" s="54" t="n">
        <v>172036.5</v>
      </c>
      <c r="F11" s="54" t="n">
        <v>65157.4</v>
      </c>
      <c r="G11" s="54" t="n">
        <v>35306</v>
      </c>
      <c r="H11" s="54" t="n">
        <v>71573</v>
      </c>
      <c r="I11" s="54" t="n">
        <v>214719.1</v>
      </c>
      <c r="J11" s="54" t="n">
        <v>242467.1</v>
      </c>
      <c r="K11" s="54" t="n">
        <v>246300.1</v>
      </c>
    </row>
    <row r="12" customFormat="false" ht="15" hidden="false" customHeight="false" outlineLevel="0" collapsed="false">
      <c r="A12" s="52" t="s">
        <v>83</v>
      </c>
      <c r="B12" s="52" t="s">
        <v>87</v>
      </c>
      <c r="C12" s="53" t="s">
        <v>60</v>
      </c>
      <c r="D12" s="54" t="n">
        <v>67793.1</v>
      </c>
      <c r="E12" s="54" t="n">
        <v>14283.1</v>
      </c>
      <c r="F12" s="54" t="n">
        <v>5945.6</v>
      </c>
      <c r="G12" s="54" t="n">
        <v>2391.9</v>
      </c>
      <c r="H12" s="54" t="n">
        <v>5945.6</v>
      </c>
      <c r="I12" s="54" t="n">
        <v>17836.7</v>
      </c>
      <c r="J12" s="54" t="n">
        <v>17836.7</v>
      </c>
      <c r="K12" s="54" t="n">
        <v>17836.7</v>
      </c>
    </row>
    <row r="13" customFormat="false" ht="15" hidden="false" customHeight="false" outlineLevel="0" collapsed="false">
      <c r="A13" s="52" t="s">
        <v>83</v>
      </c>
      <c r="B13" s="52" t="s">
        <v>87</v>
      </c>
      <c r="C13" s="53" t="s">
        <v>61</v>
      </c>
      <c r="D13" s="54" t="n">
        <v>83453.6</v>
      </c>
      <c r="E13" s="54" t="n">
        <v>17995.6</v>
      </c>
      <c r="F13" s="54" t="n">
        <v>7273.1</v>
      </c>
      <c r="G13" s="54" t="n">
        <v>3449.4</v>
      </c>
      <c r="H13" s="54" t="n">
        <v>7273.1</v>
      </c>
      <c r="I13" s="54" t="n">
        <v>21819.3</v>
      </c>
      <c r="J13" s="54" t="n">
        <v>21819.3</v>
      </c>
      <c r="K13" s="54" t="n">
        <v>21819.3</v>
      </c>
    </row>
    <row r="14" customFormat="false" ht="15" hidden="false" customHeight="false" outlineLevel="0" collapsed="false">
      <c r="A14" s="52" t="s">
        <v>83</v>
      </c>
      <c r="B14" s="52" t="s">
        <v>87</v>
      </c>
      <c r="C14" s="53" t="s">
        <v>62</v>
      </c>
      <c r="D14" s="54" t="n">
        <v>47150</v>
      </c>
      <c r="E14" s="54" t="n">
        <v>10250</v>
      </c>
      <c r="F14" s="54" t="n">
        <v>4100</v>
      </c>
      <c r="G14" s="54" t="n">
        <v>2050</v>
      </c>
      <c r="H14" s="54" t="n">
        <v>4100</v>
      </c>
      <c r="I14" s="54" t="n">
        <v>12300</v>
      </c>
      <c r="J14" s="54" t="n">
        <v>12300</v>
      </c>
      <c r="K14" s="54" t="n">
        <v>12300</v>
      </c>
    </row>
    <row r="15" customFormat="false" ht="15" hidden="false" customHeight="false" outlineLevel="0" collapsed="false">
      <c r="A15" s="52" t="s">
        <v>83</v>
      </c>
      <c r="B15" s="52" t="s">
        <v>87</v>
      </c>
      <c r="C15" s="53" t="s">
        <v>31</v>
      </c>
      <c r="D15" s="54" t="n">
        <v>481019.6</v>
      </c>
      <c r="E15" s="54" t="n">
        <v>92504.1</v>
      </c>
      <c r="F15" s="54" t="n">
        <v>37001.5</v>
      </c>
      <c r="G15" s="54" t="n">
        <v>18501.1</v>
      </c>
      <c r="H15" s="54" t="n">
        <v>37001.5</v>
      </c>
      <c r="I15" s="54" t="n">
        <v>111004.4</v>
      </c>
      <c r="J15" s="54" t="n">
        <v>138755.6</v>
      </c>
      <c r="K15" s="54" t="n">
        <v>138755.6</v>
      </c>
    </row>
    <row r="16" customFormat="false" ht="15" hidden="false" customHeight="false" outlineLevel="0" collapsed="false">
      <c r="A16" s="52" t="s">
        <v>83</v>
      </c>
      <c r="B16" s="52" t="s">
        <v>87</v>
      </c>
      <c r="C16" s="53" t="s">
        <v>63</v>
      </c>
      <c r="D16" s="54" t="n">
        <v>14640.2</v>
      </c>
      <c r="E16" s="54" t="n">
        <v>3544.6</v>
      </c>
      <c r="F16" s="54" t="n">
        <v>1232.8</v>
      </c>
      <c r="G16" s="54" t="n">
        <v>1078.9</v>
      </c>
      <c r="H16" s="54" t="n">
        <v>1232.8</v>
      </c>
      <c r="I16" s="54" t="n">
        <v>3698.5</v>
      </c>
      <c r="J16" s="54" t="n">
        <v>3698.5</v>
      </c>
      <c r="K16" s="54" t="n">
        <v>3698.5</v>
      </c>
    </row>
    <row r="17" customFormat="false" ht="15" hidden="false" customHeight="false" outlineLevel="0" collapsed="false">
      <c r="A17" s="52" t="s">
        <v>83</v>
      </c>
      <c r="B17" s="52" t="s">
        <v>87</v>
      </c>
      <c r="C17" s="53" t="s">
        <v>64</v>
      </c>
      <c r="D17" s="54" t="n">
        <v>181466.3</v>
      </c>
      <c r="E17" s="54" t="n">
        <v>33459.1</v>
      </c>
      <c r="F17" s="54" t="n">
        <v>9604.4</v>
      </c>
      <c r="G17" s="54" t="n">
        <v>7834.7</v>
      </c>
      <c r="H17" s="54" t="n">
        <v>16020.1</v>
      </c>
      <c r="I17" s="54" t="n">
        <v>48060.2</v>
      </c>
      <c r="J17" s="54" t="n">
        <v>48057</v>
      </c>
      <c r="K17" s="54" t="n">
        <v>51890.1</v>
      </c>
    </row>
    <row r="18" customFormat="false" ht="15" hidden="false" customHeight="false" outlineLevel="0" collapsed="false">
      <c r="A18" s="53" t="s">
        <v>85</v>
      </c>
      <c r="B18" s="53" t="s">
        <v>84</v>
      </c>
      <c r="C18" s="53" t="s">
        <v>77</v>
      </c>
      <c r="D18" s="55" t="n">
        <v>18.75</v>
      </c>
      <c r="E18" s="55" t="n">
        <v>18.73</v>
      </c>
      <c r="F18" s="55" t="n">
        <v>18.67</v>
      </c>
      <c r="G18" s="55" t="n">
        <v>18.75</v>
      </c>
      <c r="H18" s="55" t="n">
        <v>18.79</v>
      </c>
      <c r="I18" s="55" t="n">
        <v>18.75</v>
      </c>
      <c r="J18" s="55" t="n">
        <v>18.8</v>
      </c>
      <c r="K18" s="55" t="n">
        <v>18.71</v>
      </c>
    </row>
    <row r="19" customFormat="false" ht="15" hidden="false" customHeight="false" outlineLevel="0" collapsed="false">
      <c r="A19" s="53" t="s">
        <v>85</v>
      </c>
      <c r="B19" s="53" t="s">
        <v>84</v>
      </c>
      <c r="C19" s="53" t="s">
        <v>60</v>
      </c>
      <c r="D19" s="55" t="n">
        <v>20.1</v>
      </c>
      <c r="E19" s="55" t="n">
        <v>19.94</v>
      </c>
      <c r="F19" s="55" t="n">
        <v>20.14</v>
      </c>
      <c r="G19" s="55" t="n">
        <v>18.9</v>
      </c>
      <c r="H19" s="55" t="n">
        <v>20.14</v>
      </c>
      <c r="I19" s="55" t="n">
        <v>20.14</v>
      </c>
      <c r="J19" s="55" t="n">
        <v>20.14</v>
      </c>
      <c r="K19" s="55" t="n">
        <v>20.14</v>
      </c>
    </row>
    <row r="20" customFormat="false" ht="15" hidden="false" customHeight="false" outlineLevel="0" collapsed="false">
      <c r="A20" s="53" t="s">
        <v>85</v>
      </c>
      <c r="B20" s="53" t="s">
        <v>84</v>
      </c>
      <c r="C20" s="53" t="s">
        <v>61</v>
      </c>
      <c r="D20" s="55" t="n">
        <v>17.47</v>
      </c>
      <c r="E20" s="55" t="n">
        <v>17.51</v>
      </c>
      <c r="F20" s="55" t="n">
        <v>17.46</v>
      </c>
      <c r="G20" s="55" t="n">
        <v>17.71</v>
      </c>
      <c r="H20" s="55" t="n">
        <v>17.46</v>
      </c>
      <c r="I20" s="55" t="n">
        <v>17.46</v>
      </c>
      <c r="J20" s="55" t="n">
        <v>17.46</v>
      </c>
      <c r="K20" s="55" t="n">
        <v>17.46</v>
      </c>
    </row>
    <row r="21" customFormat="false" ht="15" hidden="false" customHeight="false" outlineLevel="0" collapsed="false">
      <c r="A21" s="53" t="s">
        <v>85</v>
      </c>
      <c r="B21" s="53" t="s">
        <v>84</v>
      </c>
      <c r="C21" s="53" t="s">
        <v>62</v>
      </c>
      <c r="D21" s="55" t="n">
        <v>22.51</v>
      </c>
      <c r="E21" s="55" t="n">
        <v>22.49</v>
      </c>
      <c r="F21" s="55" t="n">
        <v>22.49</v>
      </c>
      <c r="G21" s="55" t="n">
        <v>22.49</v>
      </c>
      <c r="H21" s="55" t="n">
        <v>22.49</v>
      </c>
      <c r="I21" s="55" t="n">
        <v>22.51</v>
      </c>
      <c r="J21" s="55" t="n">
        <v>22.51</v>
      </c>
      <c r="K21" s="55" t="n">
        <v>22.51</v>
      </c>
    </row>
    <row r="22" customFormat="false" ht="15" hidden="false" customHeight="false" outlineLevel="0" collapsed="false">
      <c r="A22" s="53" t="s">
        <v>85</v>
      </c>
      <c r="B22" s="53" t="s">
        <v>84</v>
      </c>
      <c r="C22" s="53" t="s">
        <v>31</v>
      </c>
      <c r="D22" s="55" t="n">
        <v>19.15</v>
      </c>
      <c r="E22" s="55" t="n">
        <v>19.21</v>
      </c>
      <c r="F22" s="55" t="n">
        <v>19.21</v>
      </c>
      <c r="G22" s="55" t="n">
        <v>19.21</v>
      </c>
      <c r="H22" s="55" t="n">
        <v>19.21</v>
      </c>
      <c r="I22" s="55" t="n">
        <v>19.14</v>
      </c>
      <c r="J22" s="55" t="n">
        <v>19.14</v>
      </c>
      <c r="K22" s="55" t="n">
        <v>19.14</v>
      </c>
    </row>
    <row r="23" customFormat="false" ht="15" hidden="false" customHeight="false" outlineLevel="0" collapsed="false">
      <c r="A23" s="53" t="s">
        <v>85</v>
      </c>
      <c r="B23" s="53" t="s">
        <v>84</v>
      </c>
      <c r="C23" s="53" t="s">
        <v>63</v>
      </c>
      <c r="D23" s="55" t="n">
        <v>20.31</v>
      </c>
      <c r="E23" s="55" t="n">
        <v>20.31</v>
      </c>
      <c r="F23" s="55" t="n">
        <v>20.31</v>
      </c>
      <c r="G23" s="55" t="n">
        <v>20.31</v>
      </c>
      <c r="H23" s="55" t="n">
        <v>20.31</v>
      </c>
      <c r="I23" s="55" t="n">
        <v>20.31</v>
      </c>
      <c r="J23" s="55" t="n">
        <v>20.31</v>
      </c>
      <c r="K23" s="55" t="n">
        <v>20.31</v>
      </c>
    </row>
    <row r="24" customFormat="false" ht="15" hidden="false" customHeight="false" outlineLevel="0" collapsed="false">
      <c r="A24" s="53" t="s">
        <v>85</v>
      </c>
      <c r="B24" s="53" t="s">
        <v>84</v>
      </c>
      <c r="C24" s="53" t="s">
        <v>64</v>
      </c>
      <c r="D24" s="55" t="n">
        <v>16.76</v>
      </c>
      <c r="E24" s="55" t="n">
        <v>16.74</v>
      </c>
      <c r="F24" s="55" t="n">
        <v>16.59</v>
      </c>
      <c r="G24" s="55" t="n">
        <v>16.88</v>
      </c>
      <c r="H24" s="55" t="n">
        <v>16.86</v>
      </c>
      <c r="I24" s="55" t="n">
        <v>16.86</v>
      </c>
      <c r="J24" s="55" t="n">
        <v>16.86</v>
      </c>
      <c r="K24" s="55" t="n">
        <v>16.58</v>
      </c>
    </row>
    <row r="25" customFormat="false" ht="15" hidden="false" customHeight="false" outlineLevel="0" collapsed="false">
      <c r="A25" s="53" t="s">
        <v>85</v>
      </c>
      <c r="B25" s="52" t="s">
        <v>86</v>
      </c>
      <c r="C25" s="53" t="s">
        <v>77</v>
      </c>
      <c r="D25" s="55" t="n">
        <v>15.46</v>
      </c>
      <c r="E25" s="55" t="n">
        <v>15.46</v>
      </c>
      <c r="F25" s="55" t="n">
        <v>15.46</v>
      </c>
    </row>
    <row r="26" customFormat="false" ht="15" hidden="false" customHeight="false" outlineLevel="0" collapsed="false">
      <c r="A26" s="53" t="s">
        <v>85</v>
      </c>
      <c r="B26" s="52" t="s">
        <v>86</v>
      </c>
      <c r="C26" s="53" t="s">
        <v>64</v>
      </c>
      <c r="D26" s="55" t="n">
        <v>15.46</v>
      </c>
      <c r="E26" s="55" t="n">
        <v>15.46</v>
      </c>
      <c r="F26" s="55" t="n">
        <v>15.46</v>
      </c>
    </row>
    <row r="27" customFormat="false" ht="15" hidden="false" customHeight="false" outlineLevel="0" collapsed="false">
      <c r="A27" s="53" t="s">
        <v>85</v>
      </c>
      <c r="B27" s="52" t="s">
        <v>87</v>
      </c>
      <c r="C27" s="53" t="s">
        <v>77</v>
      </c>
      <c r="D27" s="55" t="n">
        <v>18.78</v>
      </c>
      <c r="E27" s="55" t="n">
        <v>18.9</v>
      </c>
      <c r="F27" s="55" t="n">
        <v>19.09</v>
      </c>
      <c r="G27" s="55" t="n">
        <v>18.75</v>
      </c>
      <c r="H27" s="55" t="n">
        <v>18.79</v>
      </c>
      <c r="I27" s="55" t="n">
        <v>18.75</v>
      </c>
      <c r="J27" s="55" t="n">
        <v>18.8</v>
      </c>
      <c r="K27" s="55" t="n">
        <v>18.71</v>
      </c>
    </row>
    <row r="28" customFormat="false" ht="15" hidden="false" customHeight="false" outlineLevel="0" collapsed="false">
      <c r="A28" s="53" t="s">
        <v>85</v>
      </c>
      <c r="B28" s="52" t="s">
        <v>87</v>
      </c>
      <c r="C28" s="53" t="s">
        <v>60</v>
      </c>
      <c r="D28" s="55" t="n">
        <v>20.1</v>
      </c>
      <c r="E28" s="55" t="n">
        <v>19.94</v>
      </c>
      <c r="F28" s="55" t="n">
        <v>20.14</v>
      </c>
      <c r="G28" s="55" t="n">
        <v>18.9</v>
      </c>
      <c r="H28" s="55" t="n">
        <v>20.14</v>
      </c>
      <c r="I28" s="55" t="n">
        <v>20.14</v>
      </c>
      <c r="J28" s="55" t="n">
        <v>20.14</v>
      </c>
      <c r="K28" s="55" t="n">
        <v>20.14</v>
      </c>
    </row>
    <row r="29" customFormat="false" ht="15" hidden="false" customHeight="false" outlineLevel="0" collapsed="false">
      <c r="A29" s="53" t="s">
        <v>85</v>
      </c>
      <c r="B29" s="52" t="s">
        <v>87</v>
      </c>
      <c r="C29" s="53" t="s">
        <v>61</v>
      </c>
      <c r="D29" s="55" t="n">
        <v>17.47</v>
      </c>
      <c r="E29" s="55" t="n">
        <v>17.51</v>
      </c>
      <c r="F29" s="55" t="n">
        <v>17.46</v>
      </c>
      <c r="G29" s="55" t="n">
        <v>17.71</v>
      </c>
      <c r="H29" s="55" t="n">
        <v>17.46</v>
      </c>
      <c r="I29" s="55" t="n">
        <v>17.46</v>
      </c>
      <c r="J29" s="55" t="n">
        <v>17.46</v>
      </c>
      <c r="K29" s="55" t="n">
        <v>17.46</v>
      </c>
    </row>
    <row r="30" customFormat="false" ht="15" hidden="false" customHeight="false" outlineLevel="0" collapsed="false">
      <c r="A30" s="53" t="s">
        <v>85</v>
      </c>
      <c r="B30" s="52" t="s">
        <v>87</v>
      </c>
      <c r="C30" s="53" t="s">
        <v>62</v>
      </c>
      <c r="D30" s="55" t="n">
        <v>22.51</v>
      </c>
      <c r="E30" s="55" t="n">
        <v>22.49</v>
      </c>
      <c r="F30" s="55" t="n">
        <v>22.49</v>
      </c>
      <c r="G30" s="55" t="n">
        <v>22.49</v>
      </c>
      <c r="H30" s="55" t="n">
        <v>22.49</v>
      </c>
      <c r="I30" s="55" t="n">
        <v>22.51</v>
      </c>
      <c r="J30" s="55" t="n">
        <v>22.51</v>
      </c>
      <c r="K30" s="55" t="n">
        <v>22.51</v>
      </c>
    </row>
    <row r="31" customFormat="false" ht="15" hidden="false" customHeight="false" outlineLevel="0" collapsed="false">
      <c r="A31" s="53" t="s">
        <v>85</v>
      </c>
      <c r="B31" s="52" t="s">
        <v>87</v>
      </c>
      <c r="C31" s="53" t="s">
        <v>31</v>
      </c>
      <c r="D31" s="55" t="n">
        <v>19.15</v>
      </c>
      <c r="E31" s="55" t="n">
        <v>19.21</v>
      </c>
      <c r="F31" s="55" t="n">
        <v>19.21</v>
      </c>
      <c r="G31" s="55" t="n">
        <v>19.21</v>
      </c>
      <c r="H31" s="55" t="n">
        <v>19.21</v>
      </c>
      <c r="I31" s="55" t="n">
        <v>19.14</v>
      </c>
      <c r="J31" s="55" t="n">
        <v>19.14</v>
      </c>
      <c r="K31" s="55" t="n">
        <v>19.14</v>
      </c>
    </row>
    <row r="32" customFormat="false" ht="15" hidden="false" customHeight="false" outlineLevel="0" collapsed="false">
      <c r="A32" s="53" t="s">
        <v>85</v>
      </c>
      <c r="B32" s="52" t="s">
        <v>87</v>
      </c>
      <c r="C32" s="53" t="s">
        <v>63</v>
      </c>
      <c r="D32" s="55" t="n">
        <v>20.31</v>
      </c>
      <c r="E32" s="55" t="n">
        <v>20.31</v>
      </c>
      <c r="F32" s="55" t="n">
        <v>20.31</v>
      </c>
      <c r="G32" s="55" t="n">
        <v>20.31</v>
      </c>
      <c r="H32" s="55" t="n">
        <v>20.31</v>
      </c>
      <c r="I32" s="55" t="n">
        <v>20.31</v>
      </c>
      <c r="J32" s="55" t="n">
        <v>20.31</v>
      </c>
      <c r="K32" s="55" t="n">
        <v>20.31</v>
      </c>
    </row>
    <row r="33" customFormat="false" ht="15" hidden="false" customHeight="false" outlineLevel="0" collapsed="false">
      <c r="A33" s="53" t="s">
        <v>85</v>
      </c>
      <c r="B33" s="52" t="s">
        <v>87</v>
      </c>
      <c r="C33" s="53" t="s">
        <v>64</v>
      </c>
      <c r="D33" s="55" t="n">
        <v>16.82</v>
      </c>
      <c r="E33" s="55" t="n">
        <v>17.07</v>
      </c>
      <c r="F33" s="55" t="n">
        <v>17.59</v>
      </c>
      <c r="G33" s="55" t="n">
        <v>16.88</v>
      </c>
      <c r="H33" s="55" t="n">
        <v>16.86</v>
      </c>
      <c r="I33" s="55" t="n">
        <v>16.86</v>
      </c>
      <c r="J33" s="55" t="n">
        <v>16.86</v>
      </c>
      <c r="K33" s="55" t="n">
        <v>16.58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8" min="6" style="0" width="10"/>
    <col collapsed="false" customWidth="true" hidden="false" outlineLevel="0" max="11" min="9" style="0" width="12"/>
  </cols>
  <sheetData>
    <row r="1" customFormat="false" ht="15" hidden="false" customHeight="false" outlineLevel="0" collapsed="false">
      <c r="D1" s="51" t="n">
        <v>2026</v>
      </c>
      <c r="E1" s="51" t="s">
        <v>53</v>
      </c>
      <c r="F1" s="51" t="s">
        <v>54</v>
      </c>
      <c r="G1" s="51" t="s">
        <v>55</v>
      </c>
      <c r="H1" s="51" t="s">
        <v>56</v>
      </c>
    </row>
    <row r="2" customFormat="false" ht="15" hidden="false" customHeight="false" outlineLevel="0" collapsed="false">
      <c r="A2" s="52" t="s">
        <v>83</v>
      </c>
      <c r="B2" s="53" t="s">
        <v>84</v>
      </c>
      <c r="C2" s="53" t="s">
        <v>77</v>
      </c>
      <c r="D2" s="54" t="n">
        <v>988688.2</v>
      </c>
      <c r="E2" s="54" t="n">
        <v>206294.1</v>
      </c>
      <c r="F2" s="54" t="n">
        <v>243675.4</v>
      </c>
      <c r="G2" s="54" t="n">
        <v>288629.2</v>
      </c>
      <c r="H2" s="54" t="n">
        <v>250089.5</v>
      </c>
    </row>
    <row r="3" customFormat="false" ht="15" hidden="false" customHeight="false" outlineLevel="0" collapsed="false">
      <c r="A3" s="52" t="s">
        <v>83</v>
      </c>
      <c r="B3" s="53" t="s">
        <v>84</v>
      </c>
      <c r="C3" s="53" t="s">
        <v>60</v>
      </c>
      <c r="D3" s="54" t="n">
        <v>66847.8</v>
      </c>
      <c r="E3" s="54" t="n">
        <v>9432.4</v>
      </c>
      <c r="F3" s="54" t="n">
        <v>21764.2</v>
      </c>
      <c r="G3" s="54" t="n">
        <v>17685.8</v>
      </c>
      <c r="H3" s="54" t="n">
        <v>17965.3</v>
      </c>
    </row>
    <row r="4" customFormat="false" ht="15" hidden="false" customHeight="false" outlineLevel="0" collapsed="false">
      <c r="A4" s="52" t="s">
        <v>83</v>
      </c>
      <c r="B4" s="53" t="s">
        <v>84</v>
      </c>
      <c r="C4" s="53" t="s">
        <v>61</v>
      </c>
      <c r="D4" s="54" t="n">
        <v>95393.1</v>
      </c>
      <c r="E4" s="54" t="n">
        <v>20595.7</v>
      </c>
      <c r="F4" s="54" t="n">
        <v>13833.8</v>
      </c>
      <c r="G4" s="54" t="n">
        <v>32195.7</v>
      </c>
      <c r="H4" s="54" t="n">
        <v>28767.8</v>
      </c>
    </row>
    <row r="5" customFormat="false" ht="15" hidden="false" customHeight="false" outlineLevel="0" collapsed="false">
      <c r="A5" s="52" t="s">
        <v>83</v>
      </c>
      <c r="B5" s="53" t="s">
        <v>84</v>
      </c>
      <c r="C5" s="53" t="s">
        <v>62</v>
      </c>
      <c r="D5" s="54" t="n">
        <v>65495.8</v>
      </c>
      <c r="E5" s="54" t="n">
        <v>25708.7</v>
      </c>
      <c r="F5" s="54" t="n">
        <v>10777.9</v>
      </c>
      <c r="G5" s="54" t="n">
        <v>8722.8</v>
      </c>
      <c r="H5" s="54" t="n">
        <v>20286.5</v>
      </c>
    </row>
    <row r="6" customFormat="false" ht="15" hidden="false" customHeight="false" outlineLevel="0" collapsed="false">
      <c r="A6" s="52" t="s">
        <v>83</v>
      </c>
      <c r="B6" s="53" t="s">
        <v>84</v>
      </c>
      <c r="C6" s="53" t="s">
        <v>31</v>
      </c>
      <c r="D6" s="54" t="n">
        <v>576887</v>
      </c>
      <c r="E6" s="54" t="n">
        <v>128117.1</v>
      </c>
      <c r="F6" s="54" t="n">
        <v>159076.9</v>
      </c>
      <c r="G6" s="54" t="n">
        <v>173112.2</v>
      </c>
      <c r="H6" s="54" t="n">
        <v>116580.8</v>
      </c>
    </row>
    <row r="7" customFormat="false" ht="15" hidden="false" customHeight="false" outlineLevel="0" collapsed="false">
      <c r="A7" s="52" t="s">
        <v>83</v>
      </c>
      <c r="B7" s="53" t="s">
        <v>84</v>
      </c>
      <c r="C7" s="53" t="s">
        <v>63</v>
      </c>
      <c r="D7" s="54" t="n">
        <v>21370.6</v>
      </c>
      <c r="E7" s="54" t="n">
        <v>6650.7</v>
      </c>
      <c r="F7" s="54" t="n">
        <v>3931.3</v>
      </c>
      <c r="G7" s="54" t="n">
        <v>5155.3</v>
      </c>
      <c r="H7" s="54" t="n">
        <v>5633.3</v>
      </c>
    </row>
    <row r="8" customFormat="false" ht="15" hidden="false" customHeight="false" outlineLevel="0" collapsed="false">
      <c r="A8" s="52" t="s">
        <v>83</v>
      </c>
      <c r="B8" s="53" t="s">
        <v>84</v>
      </c>
      <c r="C8" s="53" t="s">
        <v>64</v>
      </c>
      <c r="D8" s="54" t="n">
        <v>162693.9</v>
      </c>
      <c r="E8" s="54" t="n">
        <v>15789.4</v>
      </c>
      <c r="F8" s="54" t="n">
        <v>34291.3</v>
      </c>
      <c r="G8" s="54" t="n">
        <v>51757.4</v>
      </c>
      <c r="H8" s="54" t="n">
        <v>60855.8</v>
      </c>
    </row>
    <row r="9" customFormat="false" ht="15" hidden="false" customHeight="false" outlineLevel="0" collapsed="false">
      <c r="A9" s="53" t="s">
        <v>85</v>
      </c>
      <c r="B9" s="53" t="s">
        <v>84</v>
      </c>
      <c r="C9" s="53" t="s">
        <v>77</v>
      </c>
      <c r="D9" s="55" t="n">
        <v>19.16</v>
      </c>
      <c r="E9" s="55" t="n">
        <v>20.33</v>
      </c>
      <c r="F9" s="55" t="n">
        <v>19.57</v>
      </c>
      <c r="G9" s="55" t="n">
        <v>18.32</v>
      </c>
      <c r="H9" s="55" t="n">
        <v>18.77</v>
      </c>
    </row>
    <row r="10" customFormat="false" ht="15" hidden="false" customHeight="false" outlineLevel="0" collapsed="false">
      <c r="A10" s="53" t="s">
        <v>85</v>
      </c>
      <c r="B10" s="53" t="s">
        <v>84</v>
      </c>
      <c r="C10" s="53" t="s">
        <v>60</v>
      </c>
      <c r="D10" s="55" t="n">
        <v>20.09</v>
      </c>
      <c r="E10" s="55" t="n">
        <v>20.54</v>
      </c>
      <c r="F10" s="55" t="n">
        <v>21.05</v>
      </c>
      <c r="G10" s="55" t="n">
        <v>19.11</v>
      </c>
      <c r="H10" s="55" t="n">
        <v>19.66</v>
      </c>
    </row>
    <row r="11" customFormat="false" ht="15" hidden="false" customHeight="false" outlineLevel="0" collapsed="false">
      <c r="A11" s="53" t="s">
        <v>85</v>
      </c>
      <c r="B11" s="53" t="s">
        <v>84</v>
      </c>
      <c r="C11" s="53" t="s">
        <v>61</v>
      </c>
      <c r="D11" s="55" t="n">
        <v>17.93</v>
      </c>
      <c r="E11" s="55" t="n">
        <v>18.64</v>
      </c>
      <c r="F11" s="55" t="n">
        <v>17.89</v>
      </c>
      <c r="G11" s="55" t="n">
        <v>17.46</v>
      </c>
      <c r="H11" s="55" t="n">
        <v>17.96</v>
      </c>
    </row>
    <row r="12" customFormat="false" ht="15" hidden="false" customHeight="false" outlineLevel="0" collapsed="false">
      <c r="A12" s="53" t="s">
        <v>85</v>
      </c>
      <c r="B12" s="53" t="s">
        <v>84</v>
      </c>
      <c r="C12" s="53" t="s">
        <v>62</v>
      </c>
      <c r="D12" s="55" t="n">
        <v>22.68</v>
      </c>
      <c r="E12" s="55" t="n">
        <v>23.05</v>
      </c>
      <c r="F12" s="55" t="n">
        <v>23.07</v>
      </c>
      <c r="G12" s="55" t="n">
        <v>21.5</v>
      </c>
      <c r="H12" s="55" t="n">
        <v>22.5</v>
      </c>
    </row>
    <row r="13" customFormat="false" ht="15" hidden="false" customHeight="false" outlineLevel="0" collapsed="false">
      <c r="A13" s="53" t="s">
        <v>85</v>
      </c>
      <c r="B13" s="53" t="s">
        <v>84</v>
      </c>
      <c r="C13" s="53" t="s">
        <v>31</v>
      </c>
      <c r="D13" s="55" t="n">
        <v>19.31</v>
      </c>
      <c r="E13" s="55" t="n">
        <v>20.21</v>
      </c>
      <c r="F13" s="55" t="n">
        <v>19.62</v>
      </c>
      <c r="G13" s="55" t="n">
        <v>18.6</v>
      </c>
      <c r="H13" s="55" t="n">
        <v>18.97</v>
      </c>
    </row>
    <row r="14" customFormat="false" ht="15" hidden="false" customHeight="false" outlineLevel="0" collapsed="false">
      <c r="A14" s="53" t="s">
        <v>85</v>
      </c>
      <c r="B14" s="53" t="s">
        <v>84</v>
      </c>
      <c r="C14" s="53" t="s">
        <v>63</v>
      </c>
      <c r="D14" s="55" t="n">
        <v>20.7</v>
      </c>
      <c r="E14" s="55" t="n">
        <v>21.52</v>
      </c>
      <c r="F14" s="55" t="n">
        <v>20.77</v>
      </c>
      <c r="G14" s="55" t="n">
        <v>20.31</v>
      </c>
      <c r="H14" s="55" t="n">
        <v>20.06</v>
      </c>
    </row>
    <row r="15" customFormat="false" ht="15" hidden="false" customHeight="false" outlineLevel="0" collapsed="false">
      <c r="A15" s="53" t="s">
        <v>85</v>
      </c>
      <c r="B15" s="53" t="s">
        <v>84</v>
      </c>
      <c r="C15" s="53" t="s">
        <v>64</v>
      </c>
      <c r="D15" s="55" t="n">
        <v>17.29</v>
      </c>
      <c r="E15" s="55" t="n">
        <v>18.26</v>
      </c>
      <c r="F15" s="55" t="n">
        <v>17.66</v>
      </c>
      <c r="G15" s="55" t="n">
        <v>16.93</v>
      </c>
      <c r="H15" s="55" t="n">
        <v>17.15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8" min="6" style="0" width="10"/>
    <col collapsed="false" customWidth="true" hidden="false" outlineLevel="0" max="11" min="9" style="0" width="12"/>
  </cols>
  <sheetData>
    <row r="1" customFormat="false" ht="15" hidden="false" customHeight="false" outlineLevel="0" collapsed="false">
      <c r="D1" s="51" t="n">
        <v>2027</v>
      </c>
      <c r="E1" s="51" t="s">
        <v>66</v>
      </c>
      <c r="F1" s="56" t="n">
        <v>46388</v>
      </c>
      <c r="G1" s="56" t="n">
        <v>46419</v>
      </c>
      <c r="H1" s="56" t="n">
        <v>46447</v>
      </c>
      <c r="I1" s="51" t="s">
        <v>67</v>
      </c>
      <c r="J1" s="51" t="s">
        <v>68</v>
      </c>
      <c r="K1" s="51" t="s">
        <v>69</v>
      </c>
    </row>
    <row r="2" customFormat="false" ht="15" hidden="false" customHeight="false" outlineLevel="0" collapsed="false">
      <c r="A2" s="52" t="s">
        <v>83</v>
      </c>
      <c r="B2" s="53" t="s">
        <v>84</v>
      </c>
      <c r="C2" s="53" t="s">
        <v>77</v>
      </c>
      <c r="D2" s="54" t="n">
        <v>884101.9</v>
      </c>
      <c r="E2" s="54" t="n">
        <v>180615.5</v>
      </c>
      <c r="F2" s="54" t="n">
        <v>73736.5</v>
      </c>
      <c r="G2" s="54" t="n">
        <v>35306</v>
      </c>
      <c r="H2" s="54" t="n">
        <v>71573</v>
      </c>
      <c r="I2" s="54" t="n">
        <v>214719.1</v>
      </c>
      <c r="J2" s="54" t="n">
        <v>242467.1</v>
      </c>
      <c r="K2" s="54" t="n">
        <v>246300.1</v>
      </c>
    </row>
    <row r="3" customFormat="false" ht="15" hidden="false" customHeight="false" outlineLevel="0" collapsed="false">
      <c r="A3" s="52" t="s">
        <v>83</v>
      </c>
      <c r="B3" s="53" t="s">
        <v>84</v>
      </c>
      <c r="C3" s="53" t="s">
        <v>60</v>
      </c>
      <c r="D3" s="54" t="n">
        <v>67793.1</v>
      </c>
      <c r="E3" s="54" t="n">
        <v>14283.1</v>
      </c>
      <c r="F3" s="54" t="n">
        <v>5945.6</v>
      </c>
      <c r="G3" s="54" t="n">
        <v>2391.9</v>
      </c>
      <c r="H3" s="54" t="n">
        <v>5945.6</v>
      </c>
      <c r="I3" s="54" t="n">
        <v>17836.7</v>
      </c>
      <c r="J3" s="54" t="n">
        <v>17836.7</v>
      </c>
      <c r="K3" s="54" t="n">
        <v>17836.7</v>
      </c>
    </row>
    <row r="4" customFormat="false" ht="15" hidden="false" customHeight="false" outlineLevel="0" collapsed="false">
      <c r="A4" s="52" t="s">
        <v>83</v>
      </c>
      <c r="B4" s="53" t="s">
        <v>84</v>
      </c>
      <c r="C4" s="53" t="s">
        <v>61</v>
      </c>
      <c r="D4" s="54" t="n">
        <v>83453.6</v>
      </c>
      <c r="E4" s="54" t="n">
        <v>17995.6</v>
      </c>
      <c r="F4" s="54" t="n">
        <v>7273.1</v>
      </c>
      <c r="G4" s="54" t="n">
        <v>3449.4</v>
      </c>
      <c r="H4" s="54" t="n">
        <v>7273.1</v>
      </c>
      <c r="I4" s="54" t="n">
        <v>21819.3</v>
      </c>
      <c r="J4" s="54" t="n">
        <v>21819.3</v>
      </c>
      <c r="K4" s="54" t="n">
        <v>21819.3</v>
      </c>
    </row>
    <row r="5" customFormat="false" ht="15" hidden="false" customHeight="false" outlineLevel="0" collapsed="false">
      <c r="A5" s="52" t="s">
        <v>83</v>
      </c>
      <c r="B5" s="53" t="s">
        <v>84</v>
      </c>
      <c r="C5" s="53" t="s">
        <v>62</v>
      </c>
      <c r="D5" s="54" t="n">
        <v>47150</v>
      </c>
      <c r="E5" s="54" t="n">
        <v>10250</v>
      </c>
      <c r="F5" s="54" t="n">
        <v>4100</v>
      </c>
      <c r="G5" s="54" t="n">
        <v>2050</v>
      </c>
      <c r="H5" s="54" t="n">
        <v>4100</v>
      </c>
      <c r="I5" s="54" t="n">
        <v>12300</v>
      </c>
      <c r="J5" s="54" t="n">
        <v>12300</v>
      </c>
      <c r="K5" s="54" t="n">
        <v>12300</v>
      </c>
    </row>
    <row r="6" customFormat="false" ht="15" hidden="false" customHeight="false" outlineLevel="0" collapsed="false">
      <c r="A6" s="52" t="s">
        <v>83</v>
      </c>
      <c r="B6" s="53" t="s">
        <v>84</v>
      </c>
      <c r="C6" s="53" t="s">
        <v>31</v>
      </c>
      <c r="D6" s="54" t="n">
        <v>481019.6</v>
      </c>
      <c r="E6" s="54" t="n">
        <v>92504.1</v>
      </c>
      <c r="F6" s="54" t="n">
        <v>37001.5</v>
      </c>
      <c r="G6" s="54" t="n">
        <v>18501.1</v>
      </c>
      <c r="H6" s="54" t="n">
        <v>37001.5</v>
      </c>
      <c r="I6" s="54" t="n">
        <v>111004.4</v>
      </c>
      <c r="J6" s="54" t="n">
        <v>138755.6</v>
      </c>
      <c r="K6" s="54" t="n">
        <v>138755.6</v>
      </c>
    </row>
    <row r="7" customFormat="false" ht="15" hidden="false" customHeight="false" outlineLevel="0" collapsed="false">
      <c r="A7" s="52" t="s">
        <v>83</v>
      </c>
      <c r="B7" s="53" t="s">
        <v>84</v>
      </c>
      <c r="C7" s="53" t="s">
        <v>63</v>
      </c>
      <c r="D7" s="54" t="n">
        <v>14640.2</v>
      </c>
      <c r="E7" s="54" t="n">
        <v>3544.6</v>
      </c>
      <c r="F7" s="54" t="n">
        <v>1232.8</v>
      </c>
      <c r="G7" s="54" t="n">
        <v>1078.9</v>
      </c>
      <c r="H7" s="54" t="n">
        <v>1232.8</v>
      </c>
      <c r="I7" s="54" t="n">
        <v>3698.5</v>
      </c>
      <c r="J7" s="54" t="n">
        <v>3698.5</v>
      </c>
      <c r="K7" s="54" t="n">
        <v>3698.5</v>
      </c>
    </row>
    <row r="8" customFormat="false" ht="15" hidden="false" customHeight="false" outlineLevel="0" collapsed="false">
      <c r="A8" s="52" t="s">
        <v>83</v>
      </c>
      <c r="B8" s="53" t="s">
        <v>84</v>
      </c>
      <c r="C8" s="53" t="s">
        <v>64</v>
      </c>
      <c r="D8" s="54" t="n">
        <v>190045.4</v>
      </c>
      <c r="E8" s="54" t="n">
        <v>42038.2</v>
      </c>
      <c r="F8" s="54" t="n">
        <v>18183.5</v>
      </c>
      <c r="G8" s="54" t="n">
        <v>7834.7</v>
      </c>
      <c r="H8" s="54" t="n">
        <v>16020.1</v>
      </c>
      <c r="I8" s="54" t="n">
        <v>48060.2</v>
      </c>
      <c r="J8" s="54" t="n">
        <v>48057</v>
      </c>
      <c r="K8" s="54" t="n">
        <v>51890.1</v>
      </c>
    </row>
    <row r="9" customFormat="false" ht="15" hidden="false" customHeight="false" outlineLevel="0" collapsed="false">
      <c r="A9" s="52" t="s">
        <v>83</v>
      </c>
      <c r="B9" s="52" t="s">
        <v>86</v>
      </c>
      <c r="C9" s="53" t="s">
        <v>77</v>
      </c>
      <c r="D9" s="54" t="n">
        <v>8579.1</v>
      </c>
      <c r="E9" s="54" t="n">
        <v>8579.1</v>
      </c>
      <c r="F9" s="54" t="n">
        <v>8579.1</v>
      </c>
    </row>
    <row r="10" customFormat="false" ht="15" hidden="false" customHeight="false" outlineLevel="0" collapsed="false">
      <c r="A10" s="52" t="s">
        <v>83</v>
      </c>
      <c r="B10" s="52" t="s">
        <v>86</v>
      </c>
      <c r="C10" s="53" t="s">
        <v>64</v>
      </c>
      <c r="D10" s="54" t="n">
        <v>8579.1</v>
      </c>
      <c r="E10" s="54" t="n">
        <v>8579.1</v>
      </c>
      <c r="F10" s="54" t="n">
        <v>8579.1</v>
      </c>
    </row>
    <row r="11" customFormat="false" ht="15" hidden="false" customHeight="false" outlineLevel="0" collapsed="false">
      <c r="A11" s="52" t="s">
        <v>83</v>
      </c>
      <c r="B11" s="52" t="s">
        <v>87</v>
      </c>
      <c r="C11" s="53" t="s">
        <v>77</v>
      </c>
      <c r="D11" s="54" t="n">
        <v>875522.8</v>
      </c>
      <c r="E11" s="54" t="n">
        <v>172036.5</v>
      </c>
      <c r="F11" s="54" t="n">
        <v>65157.4</v>
      </c>
      <c r="G11" s="54" t="n">
        <v>35306</v>
      </c>
      <c r="H11" s="54" t="n">
        <v>71573</v>
      </c>
      <c r="I11" s="54" t="n">
        <v>214719.1</v>
      </c>
      <c r="J11" s="54" t="n">
        <v>242467.1</v>
      </c>
      <c r="K11" s="54" t="n">
        <v>246300.1</v>
      </c>
    </row>
    <row r="12" customFormat="false" ht="15" hidden="false" customHeight="false" outlineLevel="0" collapsed="false">
      <c r="A12" s="52" t="s">
        <v>83</v>
      </c>
      <c r="B12" s="52" t="s">
        <v>87</v>
      </c>
      <c r="C12" s="53" t="s">
        <v>60</v>
      </c>
      <c r="D12" s="54" t="n">
        <v>67793.1</v>
      </c>
      <c r="E12" s="54" t="n">
        <v>14283.1</v>
      </c>
      <c r="F12" s="54" t="n">
        <v>5945.6</v>
      </c>
      <c r="G12" s="54" t="n">
        <v>2391.9</v>
      </c>
      <c r="H12" s="54" t="n">
        <v>5945.6</v>
      </c>
      <c r="I12" s="54" t="n">
        <v>17836.7</v>
      </c>
      <c r="J12" s="54" t="n">
        <v>17836.7</v>
      </c>
      <c r="K12" s="54" t="n">
        <v>17836.7</v>
      </c>
    </row>
    <row r="13" customFormat="false" ht="15" hidden="false" customHeight="false" outlineLevel="0" collapsed="false">
      <c r="A13" s="52" t="s">
        <v>83</v>
      </c>
      <c r="B13" s="52" t="s">
        <v>87</v>
      </c>
      <c r="C13" s="53" t="s">
        <v>61</v>
      </c>
      <c r="D13" s="54" t="n">
        <v>83453.6</v>
      </c>
      <c r="E13" s="54" t="n">
        <v>17995.6</v>
      </c>
      <c r="F13" s="54" t="n">
        <v>7273.1</v>
      </c>
      <c r="G13" s="54" t="n">
        <v>3449.4</v>
      </c>
      <c r="H13" s="54" t="n">
        <v>7273.1</v>
      </c>
      <c r="I13" s="54" t="n">
        <v>21819.3</v>
      </c>
      <c r="J13" s="54" t="n">
        <v>21819.3</v>
      </c>
      <c r="K13" s="54" t="n">
        <v>21819.3</v>
      </c>
    </row>
    <row r="14" customFormat="false" ht="15" hidden="false" customHeight="false" outlineLevel="0" collapsed="false">
      <c r="A14" s="52" t="s">
        <v>83</v>
      </c>
      <c r="B14" s="52" t="s">
        <v>87</v>
      </c>
      <c r="C14" s="53" t="s">
        <v>62</v>
      </c>
      <c r="D14" s="54" t="n">
        <v>47150</v>
      </c>
      <c r="E14" s="54" t="n">
        <v>10250</v>
      </c>
      <c r="F14" s="54" t="n">
        <v>4100</v>
      </c>
      <c r="G14" s="54" t="n">
        <v>2050</v>
      </c>
      <c r="H14" s="54" t="n">
        <v>4100</v>
      </c>
      <c r="I14" s="54" t="n">
        <v>12300</v>
      </c>
      <c r="J14" s="54" t="n">
        <v>12300</v>
      </c>
      <c r="K14" s="54" t="n">
        <v>12300</v>
      </c>
    </row>
    <row r="15" customFormat="false" ht="15" hidden="false" customHeight="false" outlineLevel="0" collapsed="false">
      <c r="A15" s="52" t="s">
        <v>83</v>
      </c>
      <c r="B15" s="52" t="s">
        <v>87</v>
      </c>
      <c r="C15" s="53" t="s">
        <v>31</v>
      </c>
      <c r="D15" s="54" t="n">
        <v>481019.6</v>
      </c>
      <c r="E15" s="54" t="n">
        <v>92504.1</v>
      </c>
      <c r="F15" s="54" t="n">
        <v>37001.5</v>
      </c>
      <c r="G15" s="54" t="n">
        <v>18501.1</v>
      </c>
      <c r="H15" s="54" t="n">
        <v>37001.5</v>
      </c>
      <c r="I15" s="54" t="n">
        <v>111004.4</v>
      </c>
      <c r="J15" s="54" t="n">
        <v>138755.6</v>
      </c>
      <c r="K15" s="54" t="n">
        <v>138755.6</v>
      </c>
    </row>
    <row r="16" customFormat="false" ht="15" hidden="false" customHeight="false" outlineLevel="0" collapsed="false">
      <c r="A16" s="52" t="s">
        <v>83</v>
      </c>
      <c r="B16" s="52" t="s">
        <v>87</v>
      </c>
      <c r="C16" s="53" t="s">
        <v>63</v>
      </c>
      <c r="D16" s="54" t="n">
        <v>14640.2</v>
      </c>
      <c r="E16" s="54" t="n">
        <v>3544.6</v>
      </c>
      <c r="F16" s="54" t="n">
        <v>1232.8</v>
      </c>
      <c r="G16" s="54" t="n">
        <v>1078.9</v>
      </c>
      <c r="H16" s="54" t="n">
        <v>1232.8</v>
      </c>
      <c r="I16" s="54" t="n">
        <v>3698.5</v>
      </c>
      <c r="J16" s="54" t="n">
        <v>3698.5</v>
      </c>
      <c r="K16" s="54" t="n">
        <v>3698.5</v>
      </c>
    </row>
    <row r="17" customFormat="false" ht="15" hidden="false" customHeight="false" outlineLevel="0" collapsed="false">
      <c r="A17" s="52" t="s">
        <v>83</v>
      </c>
      <c r="B17" s="52" t="s">
        <v>87</v>
      </c>
      <c r="C17" s="53" t="s">
        <v>64</v>
      </c>
      <c r="D17" s="54" t="n">
        <v>181466.3</v>
      </c>
      <c r="E17" s="54" t="n">
        <v>33459.1</v>
      </c>
      <c r="F17" s="54" t="n">
        <v>9604.4</v>
      </c>
      <c r="G17" s="54" t="n">
        <v>7834.7</v>
      </c>
      <c r="H17" s="54" t="n">
        <v>16020.1</v>
      </c>
      <c r="I17" s="54" t="n">
        <v>48060.2</v>
      </c>
      <c r="J17" s="54" t="n">
        <v>48057</v>
      </c>
      <c r="K17" s="54" t="n">
        <v>51890.1</v>
      </c>
    </row>
    <row r="18" customFormat="false" ht="15" hidden="false" customHeight="false" outlineLevel="0" collapsed="false">
      <c r="A18" s="53" t="s">
        <v>85</v>
      </c>
      <c r="B18" s="53" t="s">
        <v>84</v>
      </c>
      <c r="C18" s="53" t="s">
        <v>77</v>
      </c>
      <c r="D18" s="55" t="n">
        <v>18.75</v>
      </c>
      <c r="E18" s="55" t="n">
        <v>18.73</v>
      </c>
      <c r="F18" s="55" t="n">
        <v>18.67</v>
      </c>
      <c r="G18" s="55" t="n">
        <v>18.75</v>
      </c>
      <c r="H18" s="55" t="n">
        <v>18.79</v>
      </c>
      <c r="I18" s="55" t="n">
        <v>18.75</v>
      </c>
      <c r="J18" s="55" t="n">
        <v>18.8</v>
      </c>
      <c r="K18" s="55" t="n">
        <v>18.71</v>
      </c>
    </row>
    <row r="19" customFormat="false" ht="15" hidden="false" customHeight="false" outlineLevel="0" collapsed="false">
      <c r="A19" s="53" t="s">
        <v>85</v>
      </c>
      <c r="B19" s="53" t="s">
        <v>84</v>
      </c>
      <c r="C19" s="53" t="s">
        <v>60</v>
      </c>
      <c r="D19" s="55" t="n">
        <v>20.1</v>
      </c>
      <c r="E19" s="55" t="n">
        <v>19.94</v>
      </c>
      <c r="F19" s="55" t="n">
        <v>20.14</v>
      </c>
      <c r="G19" s="55" t="n">
        <v>18.9</v>
      </c>
      <c r="H19" s="55" t="n">
        <v>20.14</v>
      </c>
      <c r="I19" s="55" t="n">
        <v>20.14</v>
      </c>
      <c r="J19" s="55" t="n">
        <v>20.14</v>
      </c>
      <c r="K19" s="55" t="n">
        <v>20.14</v>
      </c>
    </row>
    <row r="20" customFormat="false" ht="15" hidden="false" customHeight="false" outlineLevel="0" collapsed="false">
      <c r="A20" s="53" t="s">
        <v>85</v>
      </c>
      <c r="B20" s="53" t="s">
        <v>84</v>
      </c>
      <c r="C20" s="53" t="s">
        <v>61</v>
      </c>
      <c r="D20" s="55" t="n">
        <v>17.47</v>
      </c>
      <c r="E20" s="55" t="n">
        <v>17.51</v>
      </c>
      <c r="F20" s="55" t="n">
        <v>17.46</v>
      </c>
      <c r="G20" s="55" t="n">
        <v>17.71</v>
      </c>
      <c r="H20" s="55" t="n">
        <v>17.46</v>
      </c>
      <c r="I20" s="55" t="n">
        <v>17.46</v>
      </c>
      <c r="J20" s="55" t="n">
        <v>17.46</v>
      </c>
      <c r="K20" s="55" t="n">
        <v>17.46</v>
      </c>
    </row>
    <row r="21" customFormat="false" ht="15" hidden="false" customHeight="false" outlineLevel="0" collapsed="false">
      <c r="A21" s="53" t="s">
        <v>85</v>
      </c>
      <c r="B21" s="53" t="s">
        <v>84</v>
      </c>
      <c r="C21" s="53" t="s">
        <v>62</v>
      </c>
      <c r="D21" s="55" t="n">
        <v>22.51</v>
      </c>
      <c r="E21" s="55" t="n">
        <v>22.49</v>
      </c>
      <c r="F21" s="55" t="n">
        <v>22.49</v>
      </c>
      <c r="G21" s="55" t="n">
        <v>22.49</v>
      </c>
      <c r="H21" s="55" t="n">
        <v>22.49</v>
      </c>
      <c r="I21" s="55" t="n">
        <v>22.51</v>
      </c>
      <c r="J21" s="55" t="n">
        <v>22.51</v>
      </c>
      <c r="K21" s="55" t="n">
        <v>22.51</v>
      </c>
    </row>
    <row r="22" customFormat="false" ht="15" hidden="false" customHeight="false" outlineLevel="0" collapsed="false">
      <c r="A22" s="53" t="s">
        <v>85</v>
      </c>
      <c r="B22" s="53" t="s">
        <v>84</v>
      </c>
      <c r="C22" s="53" t="s">
        <v>31</v>
      </c>
      <c r="D22" s="55" t="n">
        <v>19.15</v>
      </c>
      <c r="E22" s="55" t="n">
        <v>19.21</v>
      </c>
      <c r="F22" s="55" t="n">
        <v>19.21</v>
      </c>
      <c r="G22" s="55" t="n">
        <v>19.21</v>
      </c>
      <c r="H22" s="55" t="n">
        <v>19.21</v>
      </c>
      <c r="I22" s="55" t="n">
        <v>19.14</v>
      </c>
      <c r="J22" s="55" t="n">
        <v>19.14</v>
      </c>
      <c r="K22" s="55" t="n">
        <v>19.14</v>
      </c>
    </row>
    <row r="23" customFormat="false" ht="15" hidden="false" customHeight="false" outlineLevel="0" collapsed="false">
      <c r="A23" s="53" t="s">
        <v>85</v>
      </c>
      <c r="B23" s="53" t="s">
        <v>84</v>
      </c>
      <c r="C23" s="53" t="s">
        <v>63</v>
      </c>
      <c r="D23" s="55" t="n">
        <v>20.31</v>
      </c>
      <c r="E23" s="55" t="n">
        <v>20.31</v>
      </c>
      <c r="F23" s="55" t="n">
        <v>20.31</v>
      </c>
      <c r="G23" s="55" t="n">
        <v>20.31</v>
      </c>
      <c r="H23" s="55" t="n">
        <v>20.31</v>
      </c>
      <c r="I23" s="55" t="n">
        <v>20.31</v>
      </c>
      <c r="J23" s="55" t="n">
        <v>20.31</v>
      </c>
      <c r="K23" s="55" t="n">
        <v>20.31</v>
      </c>
    </row>
    <row r="24" customFormat="false" ht="15" hidden="false" customHeight="false" outlineLevel="0" collapsed="false">
      <c r="A24" s="53" t="s">
        <v>85</v>
      </c>
      <c r="B24" s="53" t="s">
        <v>84</v>
      </c>
      <c r="C24" s="53" t="s">
        <v>64</v>
      </c>
      <c r="D24" s="55" t="n">
        <v>16.76</v>
      </c>
      <c r="E24" s="55" t="n">
        <v>16.74</v>
      </c>
      <c r="F24" s="55" t="n">
        <v>16.59</v>
      </c>
      <c r="G24" s="55" t="n">
        <v>16.88</v>
      </c>
      <c r="H24" s="55" t="n">
        <v>16.86</v>
      </c>
      <c r="I24" s="55" t="n">
        <v>16.86</v>
      </c>
      <c r="J24" s="55" t="n">
        <v>16.86</v>
      </c>
      <c r="K24" s="55" t="n">
        <v>16.58</v>
      </c>
    </row>
    <row r="25" customFormat="false" ht="15" hidden="false" customHeight="false" outlineLevel="0" collapsed="false">
      <c r="A25" s="53" t="s">
        <v>85</v>
      </c>
      <c r="B25" s="52" t="s">
        <v>86</v>
      </c>
      <c r="C25" s="53" t="s">
        <v>77</v>
      </c>
      <c r="D25" s="55" t="n">
        <v>15.46</v>
      </c>
      <c r="E25" s="55" t="n">
        <v>15.46</v>
      </c>
      <c r="F25" s="55" t="n">
        <v>15.46</v>
      </c>
    </row>
    <row r="26" customFormat="false" ht="15" hidden="false" customHeight="false" outlineLevel="0" collapsed="false">
      <c r="A26" s="53" t="s">
        <v>85</v>
      </c>
      <c r="B26" s="52" t="s">
        <v>86</v>
      </c>
      <c r="C26" s="53" t="s">
        <v>64</v>
      </c>
      <c r="D26" s="55" t="n">
        <v>15.46</v>
      </c>
      <c r="E26" s="55" t="n">
        <v>15.46</v>
      </c>
      <c r="F26" s="55" t="n">
        <v>15.46</v>
      </c>
    </row>
    <row r="27" customFormat="false" ht="15" hidden="false" customHeight="false" outlineLevel="0" collapsed="false">
      <c r="A27" s="53" t="s">
        <v>85</v>
      </c>
      <c r="B27" s="52" t="s">
        <v>87</v>
      </c>
      <c r="C27" s="53" t="s">
        <v>77</v>
      </c>
      <c r="D27" s="55" t="n">
        <v>18.78</v>
      </c>
      <c r="E27" s="55" t="n">
        <v>18.9</v>
      </c>
      <c r="F27" s="55" t="n">
        <v>19.09</v>
      </c>
      <c r="G27" s="55" t="n">
        <v>18.75</v>
      </c>
      <c r="H27" s="55" t="n">
        <v>18.79</v>
      </c>
      <c r="I27" s="55" t="n">
        <v>18.75</v>
      </c>
      <c r="J27" s="55" t="n">
        <v>18.8</v>
      </c>
      <c r="K27" s="55" t="n">
        <v>18.71</v>
      </c>
    </row>
    <row r="28" customFormat="false" ht="15" hidden="false" customHeight="false" outlineLevel="0" collapsed="false">
      <c r="A28" s="53" t="s">
        <v>85</v>
      </c>
      <c r="B28" s="52" t="s">
        <v>87</v>
      </c>
      <c r="C28" s="53" t="s">
        <v>60</v>
      </c>
      <c r="D28" s="55" t="n">
        <v>20.1</v>
      </c>
      <c r="E28" s="55" t="n">
        <v>19.94</v>
      </c>
      <c r="F28" s="55" t="n">
        <v>20.14</v>
      </c>
      <c r="G28" s="55" t="n">
        <v>18.9</v>
      </c>
      <c r="H28" s="55" t="n">
        <v>20.14</v>
      </c>
      <c r="I28" s="55" t="n">
        <v>20.14</v>
      </c>
      <c r="J28" s="55" t="n">
        <v>20.14</v>
      </c>
      <c r="K28" s="55" t="n">
        <v>20.14</v>
      </c>
    </row>
    <row r="29" customFormat="false" ht="15" hidden="false" customHeight="false" outlineLevel="0" collapsed="false">
      <c r="A29" s="53" t="s">
        <v>85</v>
      </c>
      <c r="B29" s="52" t="s">
        <v>87</v>
      </c>
      <c r="C29" s="53" t="s">
        <v>61</v>
      </c>
      <c r="D29" s="55" t="n">
        <v>17.47</v>
      </c>
      <c r="E29" s="55" t="n">
        <v>17.51</v>
      </c>
      <c r="F29" s="55" t="n">
        <v>17.46</v>
      </c>
      <c r="G29" s="55" t="n">
        <v>17.71</v>
      </c>
      <c r="H29" s="55" t="n">
        <v>17.46</v>
      </c>
      <c r="I29" s="55" t="n">
        <v>17.46</v>
      </c>
      <c r="J29" s="55" t="n">
        <v>17.46</v>
      </c>
      <c r="K29" s="55" t="n">
        <v>17.46</v>
      </c>
    </row>
    <row r="30" customFormat="false" ht="15" hidden="false" customHeight="false" outlineLevel="0" collapsed="false">
      <c r="A30" s="53" t="s">
        <v>85</v>
      </c>
      <c r="B30" s="52" t="s">
        <v>87</v>
      </c>
      <c r="C30" s="53" t="s">
        <v>62</v>
      </c>
      <c r="D30" s="55" t="n">
        <v>22.51</v>
      </c>
      <c r="E30" s="55" t="n">
        <v>22.49</v>
      </c>
      <c r="F30" s="55" t="n">
        <v>22.49</v>
      </c>
      <c r="G30" s="55" t="n">
        <v>22.49</v>
      </c>
      <c r="H30" s="55" t="n">
        <v>22.49</v>
      </c>
      <c r="I30" s="55" t="n">
        <v>22.51</v>
      </c>
      <c r="J30" s="55" t="n">
        <v>22.51</v>
      </c>
      <c r="K30" s="55" t="n">
        <v>22.51</v>
      </c>
    </row>
    <row r="31" customFormat="false" ht="15" hidden="false" customHeight="false" outlineLevel="0" collapsed="false">
      <c r="A31" s="53" t="s">
        <v>85</v>
      </c>
      <c r="B31" s="52" t="s">
        <v>87</v>
      </c>
      <c r="C31" s="53" t="s">
        <v>31</v>
      </c>
      <c r="D31" s="55" t="n">
        <v>19.15</v>
      </c>
      <c r="E31" s="55" t="n">
        <v>19.21</v>
      </c>
      <c r="F31" s="55" t="n">
        <v>19.21</v>
      </c>
      <c r="G31" s="55" t="n">
        <v>19.21</v>
      </c>
      <c r="H31" s="55" t="n">
        <v>19.21</v>
      </c>
      <c r="I31" s="55" t="n">
        <v>19.14</v>
      </c>
      <c r="J31" s="55" t="n">
        <v>19.14</v>
      </c>
      <c r="K31" s="55" t="n">
        <v>19.14</v>
      </c>
    </row>
    <row r="32" customFormat="false" ht="15" hidden="false" customHeight="false" outlineLevel="0" collapsed="false">
      <c r="A32" s="53" t="s">
        <v>85</v>
      </c>
      <c r="B32" s="52" t="s">
        <v>87</v>
      </c>
      <c r="C32" s="53" t="s">
        <v>63</v>
      </c>
      <c r="D32" s="55" t="n">
        <v>20.31</v>
      </c>
      <c r="E32" s="55" t="n">
        <v>20.31</v>
      </c>
      <c r="F32" s="55" t="n">
        <v>20.31</v>
      </c>
      <c r="G32" s="55" t="n">
        <v>20.31</v>
      </c>
      <c r="H32" s="55" t="n">
        <v>20.31</v>
      </c>
      <c r="I32" s="55" t="n">
        <v>20.31</v>
      </c>
      <c r="J32" s="55" t="n">
        <v>20.31</v>
      </c>
      <c r="K32" s="55" t="n">
        <v>20.31</v>
      </c>
    </row>
    <row r="33" customFormat="false" ht="15" hidden="false" customHeight="false" outlineLevel="0" collapsed="false">
      <c r="A33" s="53" t="s">
        <v>85</v>
      </c>
      <c r="B33" s="52" t="s">
        <v>87</v>
      </c>
      <c r="C33" s="53" t="s">
        <v>64</v>
      </c>
      <c r="D33" s="55" t="n">
        <v>16.82</v>
      </c>
      <c r="E33" s="55" t="n">
        <v>17.07</v>
      </c>
      <c r="F33" s="55" t="n">
        <v>17.59</v>
      </c>
      <c r="G33" s="55" t="n">
        <v>16.88</v>
      </c>
      <c r="H33" s="55" t="n">
        <v>16.86</v>
      </c>
      <c r="I33" s="55" t="n">
        <v>16.86</v>
      </c>
      <c r="J33" s="55" t="n">
        <v>16.86</v>
      </c>
      <c r="K33" s="55" t="n">
        <v>16.58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2026-10-07T12:34:06Z</dcterms:created>
  <dc:creator>openpyxl</dc:creator>
  <dc:description/>
  <dc:language>en-US</dc:language>
  <cp:lastModifiedBy/>
  <dcterms:modified xsi:type="dcterms:W3CDTF">2026-10-07T12:34:06Z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