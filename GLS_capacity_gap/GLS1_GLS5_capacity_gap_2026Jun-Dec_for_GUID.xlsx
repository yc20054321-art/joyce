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①Gap Summary" sheetId="1" state="visible" r:id="rId1"/>
    <sheet name="②GLS1 Meeting Trend" sheetId="2" state="visible" r:id="rId2"/>
    <sheet name="③GLS5 Line Plan" sheetId="3" state="visible" r:id="rId3"/>
    <sheet name="④Realization Risk"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9">
    <font>
      <name val="Calibri"/>
      <family val="2"/>
      <color theme="1"/>
      <sz val="11"/>
      <scheme val="minor"/>
    </font>
    <font>
      <name val="Arial"/>
      <b val="1"/>
      <sz val="14"/>
    </font>
    <font>
      <name val="Arial"/>
      <i val="1"/>
      <color rgb="00555555"/>
      <sz val="9"/>
    </font>
    <font>
      <name val="Arial"/>
      <b val="1"/>
      <color rgb="00FFFFFF"/>
      <sz val="10"/>
    </font>
    <font>
      <name val="Arial"/>
      <b val="1"/>
      <sz val="10"/>
    </font>
    <font>
      <name val="Arial"/>
      <color rgb="000000FF"/>
      <sz val="10"/>
    </font>
    <font>
      <name val="Arial"/>
      <sz val="10"/>
    </font>
    <font>
      <name val="Arial"/>
      <color rgb="00555555"/>
      <sz val="9"/>
    </font>
    <font>
      <name val="Arial"/>
      <b val="1"/>
      <color rgb="001F4E79"/>
      <sz val="11"/>
    </font>
  </fonts>
  <fills count="6">
    <fill>
      <patternFill/>
    </fill>
    <fill>
      <patternFill patternType="gray125"/>
    </fill>
    <fill>
      <patternFill patternType="solid">
        <fgColor rgb="001F4E79"/>
      </patternFill>
    </fill>
    <fill>
      <patternFill patternType="solid">
        <fgColor rgb="00FFF2CC"/>
      </patternFill>
    </fill>
    <fill>
      <patternFill patternType="solid">
        <fgColor rgb="00DDEBF7"/>
      </patternFill>
    </fill>
    <fill>
      <patternFill patternType="solid">
        <fgColor rgb="00FCE4E4"/>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1" applyAlignment="1" pivotButton="0" quotePrefix="0" xfId="0">
      <alignment horizontal="left" vertical="center"/>
    </xf>
    <xf numFmtId="164" fontId="5" fillId="0" borderId="1" applyAlignment="1" pivotButton="0" quotePrefix="0" xfId="0">
      <alignment horizontal="right" vertical="center"/>
    </xf>
    <xf numFmtId="164" fontId="6" fillId="0" borderId="1" applyAlignment="1" pivotButton="0" quotePrefix="0" xfId="0">
      <alignment horizontal="right" vertical="center"/>
    </xf>
    <xf numFmtId="165" fontId="6" fillId="0" borderId="1" applyAlignment="1" pivotButton="0" quotePrefix="0" xfId="0">
      <alignment horizontal="right" vertical="center"/>
    </xf>
    <xf numFmtId="164" fontId="5" fillId="3" borderId="1" applyAlignment="1" pivotButton="0" quotePrefix="0" xfId="0">
      <alignment horizontal="right" vertical="center"/>
    </xf>
    <xf numFmtId="164" fontId="6" fillId="3" borderId="1" applyAlignment="1" pivotButton="0" quotePrefix="0" xfId="0">
      <alignment horizontal="right" vertical="center"/>
    </xf>
    <xf numFmtId="165" fontId="6" fillId="3" borderId="1" applyAlignment="1" pivotButton="0" quotePrefix="0" xfId="0">
      <alignment horizontal="right" vertical="center"/>
    </xf>
    <xf numFmtId="164" fontId="4" fillId="0" borderId="1" applyAlignment="1" pivotButton="0" quotePrefix="0" xfId="0">
      <alignment horizontal="right" vertical="center"/>
    </xf>
    <xf numFmtId="0" fontId="7" fillId="0" borderId="1" applyAlignment="1" pivotButton="0" quotePrefix="0" xfId="0">
      <alignment horizontal="center" vertical="center"/>
    </xf>
    <xf numFmtId="0" fontId="7" fillId="0" borderId="1" applyAlignment="1" pivotButton="0" quotePrefix="0" xfId="0">
      <alignment horizontal="left" vertical="center" wrapText="1"/>
    </xf>
    <xf numFmtId="0" fontId="4" fillId="4" borderId="1" applyAlignment="1" pivotButton="0" quotePrefix="0" xfId="0">
      <alignment horizontal="left" vertical="center"/>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0" fontId="6" fillId="4" borderId="1" applyAlignment="1" pivotButton="0" quotePrefix="0" xfId="0">
      <alignment horizontal="left" vertical="center"/>
    </xf>
    <xf numFmtId="0" fontId="7" fillId="4" borderId="1" applyAlignment="1" pivotButton="0" quotePrefix="0" xfId="0">
      <alignment horizontal="left" vertical="center" wrapText="1"/>
    </xf>
    <xf numFmtId="0" fontId="4" fillId="0" borderId="0" applyAlignment="1" pivotButton="0" quotePrefix="0" xfId="0">
      <alignment horizontal="left" vertical="center"/>
    </xf>
    <xf numFmtId="0" fontId="7" fillId="0" borderId="0" applyAlignment="1" pivotButton="0" quotePrefix="0" xfId="0">
      <alignment horizontal="left" vertical="center"/>
    </xf>
    <xf numFmtId="164" fontId="7" fillId="0" borderId="1" applyAlignment="1" pivotButton="0" quotePrefix="0" xfId="0">
      <alignment horizontal="right" vertical="center"/>
    </xf>
    <xf numFmtId="164" fontId="4" fillId="5" borderId="1" applyAlignment="1" pivotButton="0" quotePrefix="0" xfId="0">
      <alignment horizontal="right" vertical="center"/>
    </xf>
    <xf numFmtId="164" fontId="6" fillId="5" borderId="1" applyAlignment="1" pivotButton="0" quotePrefix="0" xfId="0">
      <alignment horizontal="right" vertical="center"/>
    </xf>
    <xf numFmtId="165" fontId="6" fillId="5" borderId="1" applyAlignment="1" pivotButton="0" quotePrefix="0" xfId="0">
      <alignment horizontal="right" vertical="center"/>
    </xf>
    <xf numFmtId="1" fontId="5" fillId="0" borderId="1" applyAlignment="1" pivotButton="0" quotePrefix="0" xfId="0">
      <alignment horizontal="right" vertical="center"/>
    </xf>
    <xf numFmtId="164" fontId="4" fillId="3" borderId="1" applyAlignment="1" pivotButton="0" quotePrefix="0" xfId="0">
      <alignment horizontal="right" vertical="center"/>
    </xf>
    <xf numFmtId="0" fontId="8" fillId="0" borderId="0" applyAlignment="1" pivotButton="0" quotePrefix="0" xfId="0">
      <alignment horizontal="left" vertical="center"/>
    </xf>
    <xf numFmtId="165" fontId="4" fillId="0" borderId="1" applyAlignment="1" pivotButton="0" quotePrefix="0" xfId="0">
      <alignment horizontal="right" vertical="center"/>
    </xf>
    <xf numFmtId="164" fontId="5" fillId="5" borderId="1" applyAlignment="1" pivotButton="0" quotePrefix="0" xfId="0">
      <alignment horizontal="right" vertical="center"/>
    </xf>
    <xf numFmtId="165" fontId="4" fillId="5" borderId="1" applyAlignment="1" pivotButton="0" quotePrefix="0" xfId="0">
      <alignment horizontal="right" vertical="center"/>
    </xf>
    <xf numFmtId="0" fontId="4" fillId="3" borderId="1" applyAlignment="1" pivotButton="0" quotePrefix="0" xfId="0">
      <alignment horizontal="center" vertical="center"/>
    </xf>
    <xf numFmtId="0" fontId="6" fillId="0" borderId="1" applyAlignment="1" pivotButton="0" quotePrefix="0" xfId="0">
      <alignment horizontal="left" vertical="center"/>
    </xf>
    <xf numFmtId="165" fontId="5" fillId="3" borderId="1" applyAlignment="1" pivotButton="0" quotePrefix="0" xfId="0">
      <alignment horizontal="center" vertical="center"/>
    </xf>
    <xf numFmtId="0" fontId="4" fillId="5"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14" customWidth="1" min="3" max="3"/>
    <col width="13" customWidth="1" min="4" max="4"/>
    <col width="10" customWidth="1" min="5" max="5"/>
    <col width="13" customWidth="1" min="6" max="6"/>
    <col width="14" customWidth="1" min="7" max="7"/>
    <col width="13" customWidth="1" min="8" max="8"/>
    <col width="10" customWidth="1" min="9" max="9"/>
    <col width="13" customWidth="1" min="10" max="10"/>
    <col width="14" customWidth="1" min="11" max="11"/>
    <col width="14" customWidth="1" min="12" max="12"/>
    <col width="10" customWidth="1" min="13" max="13"/>
    <col width="13" customWidth="1" min="14" max="14"/>
    <col width="62" customWidth="1" min="15" max="15"/>
  </cols>
  <sheetData>
    <row r="1">
      <c r="A1" s="1" t="inlineStr">
        <is>
          <t>GLS1 ＋ GLS5　キャパ vs オーダー　ギャップ一覧 ／ Capacity vs Order Gap</t>
        </is>
      </c>
    </row>
    <row r="2">
      <c r="A2" s="2" t="inlineStr">
        <is>
          <t>単位：MK係数（pcs）　対象：2026年6月縫製～12月縫製　基準：8/24キャパ会議（データ Fix ver. 2026/08/20）／ Unit: MK coefficient. Jun–Dec 2026 sewing.</t>
        </is>
      </c>
    </row>
    <row r="4" ht="46" customHeight="1">
      <c r="A4" s="3" t="inlineStr">
        <is>
          <t>縫製月
Sewing month</t>
        </is>
      </c>
      <c r="B4" s="3" t="inlineStr">
        <is>
          <t>GLS1
キャパ MIN</t>
        </is>
      </c>
      <c r="C4" s="3" t="inlineStr">
        <is>
          <t>GLS1
オーダー計</t>
        </is>
      </c>
      <c r="D4" s="3" t="inlineStr">
        <is>
          <t>GLS1
差異 Gap</t>
        </is>
      </c>
      <c r="E4" s="3" t="inlineStr">
        <is>
          <t>GLS1
達成率</t>
        </is>
      </c>
      <c r="F4" s="3" t="inlineStr">
        <is>
          <t>GLS5
キャパ（計画）</t>
        </is>
      </c>
      <c r="G4" s="3" t="inlineStr">
        <is>
          <t>GLS5
オーダー計</t>
        </is>
      </c>
      <c r="H4" s="3" t="inlineStr">
        <is>
          <t>GLS5
差異 Gap</t>
        </is>
      </c>
      <c r="I4" s="3" t="inlineStr">
        <is>
          <t>GLS5
達成率</t>
        </is>
      </c>
      <c r="J4" s="3" t="inlineStr">
        <is>
          <t>GLS1+5
キャパ計</t>
        </is>
      </c>
      <c r="K4" s="3" t="inlineStr">
        <is>
          <t>GLS1+5
オーダー計</t>
        </is>
      </c>
      <c r="L4" s="3" t="inlineStr">
        <is>
          <t>GLS1+5
差異 Gap</t>
        </is>
      </c>
      <c r="M4" s="3" t="inlineStr">
        <is>
          <t>GLS1+5
達成率</t>
        </is>
      </c>
      <c r="N4" s="3" t="inlineStr">
        <is>
          <t>基準会議
Source</t>
        </is>
      </c>
      <c r="O4" s="3" t="inlineStr">
        <is>
          <t>備考 / Remark</t>
        </is>
      </c>
    </row>
    <row r="5">
      <c r="A5" s="4" t="inlineStr">
        <is>
          <t>6月縫製</t>
        </is>
      </c>
      <c r="B5" s="5" t="n">
        <v>672000</v>
      </c>
      <c r="C5" s="5" t="n">
        <v>700008</v>
      </c>
      <c r="D5" s="6">
        <f>C5-B5</f>
        <v/>
      </c>
      <c r="E5" s="7">
        <f>IFERROR(C5/B5,"")</f>
        <v/>
      </c>
      <c r="F5" s="8" t="n">
        <v>60000</v>
      </c>
      <c r="G5" s="8" t="n">
        <v>30480</v>
      </c>
      <c r="H5" s="9">
        <f>G5-F5</f>
        <v/>
      </c>
      <c r="I5" s="10">
        <f>IFERROR(G5/F5,"")</f>
        <v/>
      </c>
      <c r="J5" s="6">
        <f>B5+F5</f>
        <v/>
      </c>
      <c r="K5" s="6">
        <f>C5+G5</f>
        <v/>
      </c>
      <c r="L5" s="11">
        <f>K5-J5</f>
        <v/>
      </c>
      <c r="M5" s="7">
        <f>IFERROR(K5/J5,"")</f>
        <v/>
      </c>
      <c r="N5" s="12" t="inlineStr">
        <is>
          <t>7/30会議</t>
        </is>
      </c>
      <c r="O5" s="13" t="inlineStr">
        <is>
          <t>GLS5＝EXF対象期間外を含まず、参考値 / GLS5 partly outside EXF window</t>
        </is>
      </c>
    </row>
    <row r="6">
      <c r="A6" s="4" t="inlineStr">
        <is>
          <t>7月縫製</t>
        </is>
      </c>
      <c r="B6" s="5" t="n">
        <v>672000</v>
      </c>
      <c r="C6" s="5" t="n">
        <v>563856</v>
      </c>
      <c r="D6" s="6">
        <f>C6-B6</f>
        <v/>
      </c>
      <c r="E6" s="7">
        <f>IFERROR(C6/B6,"")</f>
        <v/>
      </c>
      <c r="F6" s="8" t="n">
        <v>60000</v>
      </c>
      <c r="G6" s="8" t="n">
        <v>39132</v>
      </c>
      <c r="H6" s="9">
        <f>G6-F6</f>
        <v/>
      </c>
      <c r="I6" s="10">
        <f>IFERROR(G6/F6,"")</f>
        <v/>
      </c>
      <c r="J6" s="6">
        <f>B6+F6</f>
        <v/>
      </c>
      <c r="K6" s="6">
        <f>C6+G6</f>
        <v/>
      </c>
      <c r="L6" s="11">
        <f>K6-J6</f>
        <v/>
      </c>
      <c r="M6" s="7">
        <f>IFERROR(K6/J6,"")</f>
        <v/>
      </c>
      <c r="N6" s="12" t="inlineStr">
        <is>
          <t>7/30会議</t>
        </is>
      </c>
      <c r="O6" s="13" t="inlineStr">
        <is>
          <t>GLS5＝EXF対象期間外を含まず、参考値 / GLS5 partly outside EXF window</t>
        </is>
      </c>
    </row>
    <row r="7">
      <c r="A7" s="4" t="inlineStr">
        <is>
          <t>8月縫製</t>
        </is>
      </c>
      <c r="B7" s="5" t="n">
        <v>672000</v>
      </c>
      <c r="C7" s="5" t="n">
        <v>351924</v>
      </c>
      <c r="D7" s="6">
        <f>C7-B7</f>
        <v/>
      </c>
      <c r="E7" s="7">
        <f>IFERROR(C7/B7,"")</f>
        <v/>
      </c>
      <c r="F7" s="5" t="n">
        <v>60000</v>
      </c>
      <c r="G7" s="5" t="n">
        <v>100188</v>
      </c>
      <c r="H7" s="6">
        <f>G7-F7</f>
        <v/>
      </c>
      <c r="I7" s="7">
        <f>IFERROR(G7/F7,"")</f>
        <v/>
      </c>
      <c r="J7" s="6">
        <f>B7+F7</f>
        <v/>
      </c>
      <c r="K7" s="6">
        <f>C7+G7</f>
        <v/>
      </c>
      <c r="L7" s="11">
        <f>K7-J7</f>
        <v/>
      </c>
      <c r="M7" s="7">
        <f>IFERROR(K7/J7,"")</f>
        <v/>
      </c>
      <c r="N7" s="12" t="inlineStr">
        <is>
          <t>7/30会議</t>
        </is>
      </c>
      <c r="O7" s="13" t="inlineStr">
        <is>
          <t>GLS1 は MIN の約52% / GLS1 at ~52% of MIN</t>
        </is>
      </c>
    </row>
    <row r="8">
      <c r="A8" s="4" t="inlineStr">
        <is>
          <t>9月縫製</t>
        </is>
      </c>
      <c r="B8" s="5" t="n">
        <v>672000</v>
      </c>
      <c r="C8" s="5" t="n">
        <v>586707</v>
      </c>
      <c r="D8" s="6">
        <f>C8-B8</f>
        <v/>
      </c>
      <c r="E8" s="7">
        <f>IFERROR(C8/B8,"")</f>
        <v/>
      </c>
      <c r="F8" s="5" t="n">
        <v>108000</v>
      </c>
      <c r="G8" s="5" t="n">
        <v>20196</v>
      </c>
      <c r="H8" s="6">
        <f>G8-F8</f>
        <v/>
      </c>
      <c r="I8" s="7">
        <f>IFERROR(G8/F8,"")</f>
        <v/>
      </c>
      <c r="J8" s="6">
        <f>B8+F8</f>
        <v/>
      </c>
      <c r="K8" s="6">
        <f>C8+G8</f>
        <v/>
      </c>
      <c r="L8" s="11">
        <f>K8-J8</f>
        <v/>
      </c>
      <c r="M8" s="7">
        <f>IFERROR(K8/J8,"")</f>
        <v/>
      </c>
      <c r="N8" s="12" t="inlineStr">
        <is>
          <t>8/24会議</t>
        </is>
      </c>
      <c r="O8" s="13" t="inlineStr"/>
    </row>
    <row r="9">
      <c r="A9" s="4" t="inlineStr">
        <is>
          <t>10月縫製</t>
        </is>
      </c>
      <c r="B9" s="5" t="n">
        <v>672000</v>
      </c>
      <c r="C9" s="5" t="n">
        <v>822346</v>
      </c>
      <c r="D9" s="6">
        <f>C9-B9</f>
        <v/>
      </c>
      <c r="E9" s="7">
        <f>IFERROR(C9/B9,"")</f>
        <v/>
      </c>
      <c r="F9" s="5" t="n">
        <v>114000</v>
      </c>
      <c r="G9" s="5" t="n">
        <v>103301</v>
      </c>
      <c r="H9" s="6">
        <f>G9-F9</f>
        <v/>
      </c>
      <c r="I9" s="7">
        <f>IFERROR(G9/F9,"")</f>
        <v/>
      </c>
      <c r="J9" s="6">
        <f>B9+F9</f>
        <v/>
      </c>
      <c r="K9" s="6">
        <f>C9+G9</f>
        <v/>
      </c>
      <c r="L9" s="11">
        <f>K9-J9</f>
        <v/>
      </c>
      <c r="M9" s="7">
        <f>IFERROR(K9/J9,"")</f>
        <v/>
      </c>
      <c r="N9" s="12" t="inlineStr">
        <is>
          <t>8/24会議</t>
        </is>
      </c>
      <c r="O9" s="13" t="inlineStr">
        <is>
          <t>GLS1 の53%が未確定 / 53% of GLS1 not yet confirmed</t>
        </is>
      </c>
    </row>
    <row r="10">
      <c r="A10" s="4" t="inlineStr">
        <is>
          <t>11月縫製</t>
        </is>
      </c>
      <c r="B10" s="5" t="n">
        <v>672000</v>
      </c>
      <c r="C10" s="5" t="n">
        <v>852801</v>
      </c>
      <c r="D10" s="6">
        <f>C10-B10</f>
        <v/>
      </c>
      <c r="E10" s="7">
        <f>IFERROR(C10/B10,"")</f>
        <v/>
      </c>
      <c r="F10" s="5" t="n">
        <v>138000</v>
      </c>
      <c r="G10" s="5" t="n">
        <v>112212</v>
      </c>
      <c r="H10" s="6">
        <f>G10-F10</f>
        <v/>
      </c>
      <c r="I10" s="7">
        <f>IFERROR(G10/F10,"")</f>
        <v/>
      </c>
      <c r="J10" s="6">
        <f>B10+F10</f>
        <v/>
      </c>
      <c r="K10" s="6">
        <f>C10+G10</f>
        <v/>
      </c>
      <c r="L10" s="11">
        <f>K10-J10</f>
        <v/>
      </c>
      <c r="M10" s="7">
        <f>IFERROR(K10/J10,"")</f>
        <v/>
      </c>
      <c r="N10" s="12" t="inlineStr">
        <is>
          <t>8/24会議</t>
        </is>
      </c>
      <c r="O10" s="13" t="inlineStr">
        <is>
          <t>GLS1 の90%が未確定 / 90% of GLS1 not yet confirmed</t>
        </is>
      </c>
    </row>
    <row r="11">
      <c r="A11" s="4" t="inlineStr">
        <is>
          <t>12月縫製</t>
        </is>
      </c>
      <c r="B11" s="5" t="n">
        <v>672000</v>
      </c>
      <c r="C11" s="5" t="n">
        <v>519138</v>
      </c>
      <c r="D11" s="6">
        <f>C11-B11</f>
        <v/>
      </c>
      <c r="E11" s="7">
        <f>IFERROR(C11/B11,"")</f>
        <v/>
      </c>
      <c r="F11" s="5" t="n">
        <v>144000</v>
      </c>
      <c r="G11" s="5" t="n">
        <v>10200</v>
      </c>
      <c r="H11" s="6">
        <f>G11-F11</f>
        <v/>
      </c>
      <c r="I11" s="7">
        <f>IFERROR(G11/F11,"")</f>
        <v/>
      </c>
      <c r="J11" s="6">
        <f>B11+F11</f>
        <v/>
      </c>
      <c r="K11" s="6">
        <f>C11+G11</f>
        <v/>
      </c>
      <c r="L11" s="11">
        <f>K11-J11</f>
        <v/>
      </c>
      <c r="M11" s="7">
        <f>IFERROR(K11/J11,"")</f>
        <v/>
      </c>
      <c r="N11" s="12" t="inlineStr">
        <is>
          <t>8/24会議</t>
        </is>
      </c>
      <c r="O11" s="13" t="inlineStr">
        <is>
          <t>GLS1 の99.6%が未確定、GLS5 は8ライン計画に対しほぼ空 / GLS1 99.6% unconfirmed; GLS5 nearly empty vs 8-line plan</t>
        </is>
      </c>
    </row>
    <row r="12">
      <c r="A12" s="14" t="inlineStr">
        <is>
          <t>6-12月 合計 / Total</t>
        </is>
      </c>
      <c r="B12" s="15">
        <f>SUM(B5:B11)</f>
        <v/>
      </c>
      <c r="C12" s="15">
        <f>SUM(C5:C11)</f>
        <v/>
      </c>
      <c r="D12" s="15">
        <f>C12-B12</f>
        <v/>
      </c>
      <c r="E12" s="16">
        <f>IFERROR(C12/B12,"")</f>
        <v/>
      </c>
      <c r="F12" s="15">
        <f>SUM(F5:F11)</f>
        <v/>
      </c>
      <c r="G12" s="15">
        <f>SUM(G5:G11)</f>
        <v/>
      </c>
      <c r="H12" s="15">
        <f>G12-F12</f>
        <v/>
      </c>
      <c r="I12" s="16">
        <f>IFERROR(G12/F12,"")</f>
        <v/>
      </c>
      <c r="J12" s="15">
        <f>SUM(J5:J11)</f>
        <v/>
      </c>
      <c r="K12" s="15">
        <f>SUM(K5:K11)</f>
        <v/>
      </c>
      <c r="L12" s="15">
        <f>SUM(L5:L11)</f>
        <v/>
      </c>
      <c r="M12" s="16">
        <f>IFERROR(K12/J12,"")</f>
        <v/>
      </c>
      <c r="N12" s="17" t="inlineStr"/>
      <c r="O12" s="18" t="inlineStr">
        <is>
          <t>GLS5 6-7月の参考値を含む / includes GLS5 reference figures for Jun-Jul</t>
        </is>
      </c>
    </row>
    <row r="13">
      <c r="A13" s="14" t="inlineStr">
        <is>
          <t>9-12月 合計（データ完全）/ Total (fully covered)</t>
        </is>
      </c>
      <c r="B13" s="15">
        <f>SUM(B8:B11)</f>
        <v/>
      </c>
      <c r="C13" s="15">
        <f>SUM(C8:C11)</f>
        <v/>
      </c>
      <c r="D13" s="15">
        <f>C13-B13</f>
        <v/>
      </c>
      <c r="E13" s="16">
        <f>IFERROR(C13/B13,"")</f>
        <v/>
      </c>
      <c r="F13" s="15">
        <f>SUM(F8:F11)</f>
        <v/>
      </c>
      <c r="G13" s="15">
        <f>SUM(G8:G11)</f>
        <v/>
      </c>
      <c r="H13" s="15">
        <f>G13-F13</f>
        <v/>
      </c>
      <c r="I13" s="16">
        <f>IFERROR(G13/F13,"")</f>
        <v/>
      </c>
      <c r="J13" s="15">
        <f>SUM(J8:J11)</f>
        <v/>
      </c>
      <c r="K13" s="15">
        <f>SUM(K8:K11)</f>
        <v/>
      </c>
      <c r="L13" s="15">
        <f>SUM(L8:L11)</f>
        <v/>
      </c>
      <c r="M13" s="16">
        <f>IFERROR(K13/J13,"")</f>
        <v/>
      </c>
      <c r="N13" s="17" t="inlineStr"/>
      <c r="O13" s="18" t="inlineStr">
        <is>
          <t>EXF対象期間 202609-202703 を完全にカバーする縫製月のみ / sewing months fully inside the EXF window</t>
        </is>
      </c>
    </row>
    <row r="15">
      <c r="A15" s="19" t="inlineStr">
        <is>
          <t>【前提 / Assumptions】</t>
        </is>
      </c>
    </row>
    <row r="16">
      <c r="A16" s="20" t="inlineStr">
        <is>
          <t>・GLS1 キャパ MIN = 672,000 MK係数/月（GUブック数字。V6キャパ会議明細 Summary_Chart より）。青字＝入力値 / blue = hardcoded input。</t>
        </is>
      </c>
    </row>
    <row r="17">
      <c r="A17" s="20" t="inlineStr">
        <is>
          <t>・GLS5 キャパ = 「SOLO5展開計画」縫製月別係数（2026年9月縫製より毎月1ライン増設、4→8ライン）。</t>
        </is>
      </c>
    </row>
    <row r="18">
      <c r="A18" s="20" t="inlineStr">
        <is>
          <t>・「オーダー計」＝ Status Confirmed ＋ Not confirmed の MK係数合計（キャパ会議と同じ計上基準）。確定／未確定の内訳は ④Realization Risk を参照。</t>
        </is>
      </c>
    </row>
    <row r="19">
      <c r="A19" s="20" t="inlineStr">
        <is>
          <t>・GLS1 の 6-8月縫製は 8/24会議ファイルの EXF対象期間（202609-202703）外のため、7/30会議ファイルの数値を採用。</t>
        </is>
      </c>
    </row>
    <row r="20">
      <c r="A20" s="20" t="inlineStr">
        <is>
          <t>・GLS5 の 6-7月縫製も同じ理由で過少表示（黄色）。比較には 9-12月縫製をご使用ください。</t>
        </is>
      </c>
    </row>
    <row r="21">
      <c r="A21" s="20" t="inlineStr">
        <is>
          <t>・本表は GLS1／GLS5 のみを対象とし、他工場からの補填・振替は一切含みません / Covers GLS1/GLS5 only; no inter-factory support included.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3" customWidth="1" min="10" max="10"/>
    <col width="11" customWidth="1" min="11" max="11"/>
    <col width="12" customWidth="1" min="12" max="12"/>
    <col width="12" customWidth="1" min="13" max="13"/>
    <col width="15" customWidth="1" min="14" max="14"/>
    <col width="15" customWidth="1" min="15" max="15"/>
  </cols>
  <sheetData>
    <row r="1">
      <c r="A1" s="1" t="inlineStr">
        <is>
          <t>GLS1（SOLO1）縫製月別　会議ごとの数量推移 ／ GLS1 order by sewing month, meeting by meeting</t>
        </is>
      </c>
    </row>
    <row r="2">
      <c r="A2" s="2" t="inlineStr">
        <is>
          <t>単位：MK係数　「—」＝当該会議ファイルの EXF対象期間が当該縫製月をカバーせず比較対象外 / '—' = not covered by that meeting's EXF window</t>
        </is>
      </c>
    </row>
    <row r="4" ht="46" customHeight="1">
      <c r="A4" s="3" t="inlineStr">
        <is>
          <t>縫製月
Sewing month</t>
        </is>
      </c>
      <c r="B4" s="3" t="inlineStr">
        <is>
          <t>4/2会議</t>
        </is>
      </c>
      <c r="C4" s="3" t="inlineStr">
        <is>
          <t>4/16会議</t>
        </is>
      </c>
      <c r="D4" s="3" t="inlineStr">
        <is>
          <t>5/21会議</t>
        </is>
      </c>
      <c r="E4" s="3" t="inlineStr">
        <is>
          <t>6/18会議</t>
        </is>
      </c>
      <c r="F4" s="3" t="inlineStr">
        <is>
          <t>7/30会議</t>
        </is>
      </c>
      <c r="G4" s="3" t="inlineStr">
        <is>
          <t>8/24会議</t>
        </is>
      </c>
      <c r="H4" s="3" t="inlineStr">
        <is>
          <t>最高
Peak</t>
        </is>
      </c>
      <c r="I4" s="3" t="inlineStr">
        <is>
          <t>最新
Latest</t>
        </is>
      </c>
      <c r="J4" s="3" t="inlineStr">
        <is>
          <t>Peak→最新
差異</t>
        </is>
      </c>
      <c r="K4" s="3" t="inlineStr">
        <is>
          <t>Peak→最新
増減率</t>
        </is>
      </c>
      <c r="L4" s="3" t="inlineStr">
        <is>
          <t>2ヶ月前
会議</t>
        </is>
      </c>
      <c r="M4" s="3" t="inlineStr">
        <is>
          <t>2ヶ月前
数量</t>
        </is>
      </c>
      <c r="N4" s="3" t="inlineStr">
        <is>
          <t>2ヶ月前→最新
差異</t>
        </is>
      </c>
      <c r="O4" s="3" t="inlineStr">
        <is>
          <t>MIN 672,000
との差異</t>
        </is>
      </c>
    </row>
    <row r="5">
      <c r="A5" s="4" t="inlineStr">
        <is>
          <t>6月縫製</t>
        </is>
      </c>
      <c r="B5" s="5" t="n">
        <v>574428</v>
      </c>
      <c r="C5" s="5" t="n">
        <v>766393</v>
      </c>
      <c r="D5" s="5" t="n">
        <v>700200</v>
      </c>
      <c r="E5" s="5" t="n">
        <v>685416</v>
      </c>
      <c r="F5" s="5" t="n">
        <v>700008</v>
      </c>
      <c r="G5" s="21" t="inlineStr">
        <is>
          <t>—</t>
        </is>
      </c>
      <c r="H5" s="6" t="n">
        <v>766393</v>
      </c>
      <c r="I5" s="11">
        <f>F5</f>
        <v/>
      </c>
      <c r="J5" s="6">
        <f>I5-H5</f>
        <v/>
      </c>
      <c r="K5" s="7">
        <f>IFERROR(I5/H5-1,"")</f>
        <v/>
      </c>
      <c r="L5" s="12" t="inlineStr">
        <is>
          <t>6/18会議</t>
        </is>
      </c>
      <c r="M5" s="6">
        <f>E5</f>
        <v/>
      </c>
      <c r="N5" s="11">
        <f>I5-M5</f>
        <v/>
      </c>
      <c r="O5" s="6">
        <f>I5-672000</f>
        <v/>
      </c>
    </row>
    <row r="6">
      <c r="A6" s="4" t="inlineStr">
        <is>
          <t>7月縫製</t>
        </is>
      </c>
      <c r="B6" s="5" t="n">
        <v>348432</v>
      </c>
      <c r="C6" s="5" t="n">
        <v>523488</v>
      </c>
      <c r="D6" s="5" t="n">
        <v>320940</v>
      </c>
      <c r="E6" s="5" t="n">
        <v>537612</v>
      </c>
      <c r="F6" s="5" t="n">
        <v>563856</v>
      </c>
      <c r="G6" s="21" t="inlineStr">
        <is>
          <t>—</t>
        </is>
      </c>
      <c r="H6" s="6" t="n">
        <v>563856</v>
      </c>
      <c r="I6" s="11">
        <f>F6</f>
        <v/>
      </c>
      <c r="J6" s="6">
        <f>I6-H6</f>
        <v/>
      </c>
      <c r="K6" s="7">
        <f>IFERROR(I6/H6-1,"")</f>
        <v/>
      </c>
      <c r="L6" s="12" t="inlineStr">
        <is>
          <t>6/18会議</t>
        </is>
      </c>
      <c r="M6" s="6">
        <f>E6</f>
        <v/>
      </c>
      <c r="N6" s="11">
        <f>I6-M6</f>
        <v/>
      </c>
      <c r="O6" s="6">
        <f>I6-672000</f>
        <v/>
      </c>
    </row>
    <row r="7">
      <c r="A7" s="4" t="inlineStr">
        <is>
          <t>8月縫製</t>
        </is>
      </c>
      <c r="B7" s="21" t="inlineStr">
        <is>
          <t>—</t>
        </is>
      </c>
      <c r="C7" s="21" t="inlineStr">
        <is>
          <t>—</t>
        </is>
      </c>
      <c r="D7" s="5" t="n">
        <v>565536</v>
      </c>
      <c r="E7" s="5" t="n">
        <v>489672</v>
      </c>
      <c r="F7" s="5" t="n">
        <v>351924</v>
      </c>
      <c r="G7" s="21" t="inlineStr">
        <is>
          <t>—</t>
        </is>
      </c>
      <c r="H7" s="6" t="n">
        <v>565536</v>
      </c>
      <c r="I7" s="22">
        <f>F7</f>
        <v/>
      </c>
      <c r="J7" s="23">
        <f>I7-H7</f>
        <v/>
      </c>
      <c r="K7" s="24">
        <f>IFERROR(I7/H7-1,"")</f>
        <v/>
      </c>
      <c r="L7" s="12" t="inlineStr">
        <is>
          <t>6/18会議</t>
        </is>
      </c>
      <c r="M7" s="6">
        <f>E7</f>
        <v/>
      </c>
      <c r="N7" s="22">
        <f>I7-M7</f>
        <v/>
      </c>
      <c r="O7" s="23">
        <f>I7-672000</f>
        <v/>
      </c>
    </row>
    <row r="8">
      <c r="A8" s="4" t="inlineStr">
        <is>
          <t>9月縫製</t>
        </is>
      </c>
      <c r="B8" s="21" t="inlineStr">
        <is>
          <t>—</t>
        </is>
      </c>
      <c r="C8" s="21" t="inlineStr">
        <is>
          <t>—</t>
        </is>
      </c>
      <c r="D8" s="5" t="n">
        <v>963288</v>
      </c>
      <c r="E8" s="5" t="n">
        <v>903924</v>
      </c>
      <c r="F8" s="5" t="n">
        <v>521472</v>
      </c>
      <c r="G8" s="5" t="n">
        <v>586707</v>
      </c>
      <c r="H8" s="6" t="n">
        <v>963288</v>
      </c>
      <c r="I8" s="22">
        <f>G8</f>
        <v/>
      </c>
      <c r="J8" s="23">
        <f>I8-H8</f>
        <v/>
      </c>
      <c r="K8" s="24">
        <f>IFERROR(I8/H8-1,"")</f>
        <v/>
      </c>
      <c r="L8" s="12" t="inlineStr">
        <is>
          <t>6/18会議</t>
        </is>
      </c>
      <c r="M8" s="6">
        <f>E8</f>
        <v/>
      </c>
      <c r="N8" s="22">
        <f>I8-M8</f>
        <v/>
      </c>
      <c r="O8" s="23">
        <f>I8-672000</f>
        <v/>
      </c>
    </row>
    <row r="9">
      <c r="A9" s="4" t="inlineStr">
        <is>
          <t>10月縫製</t>
        </is>
      </c>
      <c r="B9" s="21" t="inlineStr">
        <is>
          <t>—</t>
        </is>
      </c>
      <c r="C9" s="21" t="inlineStr">
        <is>
          <t>—</t>
        </is>
      </c>
      <c r="D9" s="5" t="n">
        <v>460356</v>
      </c>
      <c r="E9" s="5" t="n">
        <v>861744</v>
      </c>
      <c r="F9" s="5" t="n">
        <v>887781</v>
      </c>
      <c r="G9" s="5" t="n">
        <v>822346</v>
      </c>
      <c r="H9" s="6" t="n">
        <v>887781</v>
      </c>
      <c r="I9" s="11">
        <f>G9</f>
        <v/>
      </c>
      <c r="J9" s="6">
        <f>I9-H9</f>
        <v/>
      </c>
      <c r="K9" s="7">
        <f>IFERROR(I9/H9-1,"")</f>
        <v/>
      </c>
      <c r="L9" s="12" t="inlineStr">
        <is>
          <t>6/18会議</t>
        </is>
      </c>
      <c r="M9" s="6">
        <f>E9</f>
        <v/>
      </c>
      <c r="N9" s="11">
        <f>I9-M9</f>
        <v/>
      </c>
      <c r="O9" s="6">
        <f>I9-672000</f>
        <v/>
      </c>
    </row>
    <row r="10">
      <c r="A10" s="4" t="inlineStr">
        <is>
          <t>11月縫製</t>
        </is>
      </c>
      <c r="B10" s="21" t="inlineStr">
        <is>
          <t>—</t>
        </is>
      </c>
      <c r="C10" s="21" t="inlineStr">
        <is>
          <t>—</t>
        </is>
      </c>
      <c r="D10" s="21" t="inlineStr">
        <is>
          <t>—</t>
        </is>
      </c>
      <c r="E10" s="21" t="inlineStr">
        <is>
          <t>—</t>
        </is>
      </c>
      <c r="F10" s="5" t="n">
        <v>902810</v>
      </c>
      <c r="G10" s="5" t="n">
        <v>852801</v>
      </c>
      <c r="H10" s="6" t="n">
        <v>902810</v>
      </c>
      <c r="I10" s="11">
        <f>G10</f>
        <v/>
      </c>
      <c r="J10" s="6">
        <f>I10-H10</f>
        <v/>
      </c>
      <c r="K10" s="7">
        <f>IFERROR(I10/H10-1,"")</f>
        <v/>
      </c>
      <c r="L10" s="12" t="inlineStr">
        <is>
          <t>7/30会議</t>
        </is>
      </c>
      <c r="M10" s="6">
        <f>F10</f>
        <v/>
      </c>
      <c r="N10" s="11">
        <f>I10-M10</f>
        <v/>
      </c>
      <c r="O10" s="6">
        <f>I10-672000</f>
        <v/>
      </c>
    </row>
    <row r="11">
      <c r="A11" s="4" t="inlineStr">
        <is>
          <t>12月縫製</t>
        </is>
      </c>
      <c r="B11" s="21" t="inlineStr">
        <is>
          <t>—</t>
        </is>
      </c>
      <c r="C11" s="21" t="inlineStr">
        <is>
          <t>—</t>
        </is>
      </c>
      <c r="D11" s="21" t="inlineStr">
        <is>
          <t>—</t>
        </is>
      </c>
      <c r="E11" s="21" t="inlineStr">
        <is>
          <t>—</t>
        </is>
      </c>
      <c r="F11" s="5" t="n">
        <v>509040</v>
      </c>
      <c r="G11" s="5" t="n">
        <v>519138</v>
      </c>
      <c r="H11" s="6" t="n">
        <v>519138</v>
      </c>
      <c r="I11" s="22">
        <f>G11</f>
        <v/>
      </c>
      <c r="J11" s="23">
        <f>I11-H11</f>
        <v/>
      </c>
      <c r="K11" s="24">
        <f>IFERROR(I11/H11-1,"")</f>
        <v/>
      </c>
      <c r="L11" s="12" t="inlineStr">
        <is>
          <t>7/30会議</t>
        </is>
      </c>
      <c r="M11" s="6">
        <f>F11</f>
        <v/>
      </c>
      <c r="N11" s="22">
        <f>I11-M11</f>
        <v/>
      </c>
      <c r="O11" s="23">
        <f>I11-672000</f>
        <v/>
      </c>
    </row>
    <row r="13">
      <c r="A13" s="19" t="inlineStr">
        <is>
          <t>【読み方 / How to read】</t>
        </is>
      </c>
    </row>
    <row r="14">
      <c r="A14" s="20" t="inlineStr">
        <is>
          <t>・「Peak→最新 差異」＝キャパ会議でブッキングされた後に消えた数量。GUID へご報告する実質的な減少幅です。</t>
        </is>
      </c>
    </row>
    <row r="15">
      <c r="A15" s="20" t="inlineStr">
        <is>
          <t>・「2ヶ月前→最新 差異」＝2ヶ月前のキャパ会議（6/18）と最新との差。6-8月縫製は最新が 7/30会議のため 6/18会議との比較。</t>
        </is>
      </c>
    </row>
    <row r="16">
      <c r="A16" s="20" t="inlineStr">
        <is>
          <t>・11月縫製の 5/21・6/18会議はカバー率約8割のため掲載せず（—）。12月縫製は 7/30会議が初出のため2ヶ月前データなし。</t>
        </is>
      </c>
    </row>
    <row r="17">
      <c r="A17" s="20" t="inlineStr">
        <is>
          <t>・Peak→最新の減少 合計 ▲772,022 係数 ≒ GLS1 の約1.15ヶ月分の全工場キャパ / Total post-booking loss ≈ 1.15 months of GLS1 capacity.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9" customWidth="1" min="2" max="2"/>
    <col width="18" customWidth="1" min="3" max="3"/>
    <col width="14" customWidth="1" min="4" max="4"/>
    <col width="14" customWidth="1" min="5" max="5"/>
    <col width="14" customWidth="1" min="6" max="6"/>
    <col width="13" customWidth="1" min="7" max="7"/>
    <col width="10" customWidth="1" min="8" max="8"/>
    <col width="58" customWidth="1" min="9" max="9"/>
  </cols>
  <sheetData>
    <row r="1">
      <c r="A1" s="1" t="inlineStr">
        <is>
          <t>GLS5（SOLO5）ライン増設計画 vs オーダー ／ GLS5 line ramp-up plan vs order</t>
        </is>
      </c>
    </row>
    <row r="2">
      <c r="A2" s="2" t="inlineStr">
        <is>
          <t>計画：2026年9月縫製より毎月1ラインずつ増設（4→8ライン）。単位：MK係数 / Plan: +1 sewing line per month from Sep-2026 sewing.</t>
        </is>
      </c>
    </row>
    <row r="4" ht="40" customHeight="1">
      <c r="A4" s="3" t="inlineStr">
        <is>
          <t>縫製月
Sewing month</t>
        </is>
      </c>
      <c r="B4" s="3" t="inlineStr">
        <is>
          <t>ライン数
Lines</t>
        </is>
      </c>
      <c r="C4" s="3" t="inlineStr">
        <is>
          <t>キャパ（計画）
Planned capacity</t>
        </is>
      </c>
      <c r="D4" s="3" t="inlineStr">
        <is>
          <t>確定
Confirmed</t>
        </is>
      </c>
      <c r="E4" s="3" t="inlineStr">
        <is>
          <t>未確定
Not confirmed</t>
        </is>
      </c>
      <c r="F4" s="3" t="inlineStr">
        <is>
          <t>オーダー計
Total order</t>
        </is>
      </c>
      <c r="G4" s="3" t="inlineStr">
        <is>
          <t>差異 Gap</t>
        </is>
      </c>
      <c r="H4" s="3" t="inlineStr">
        <is>
          <t>達成率
Fill rate</t>
        </is>
      </c>
      <c r="I4" s="3" t="inlineStr">
        <is>
          <t>備考 / Remark</t>
        </is>
      </c>
    </row>
    <row r="5">
      <c r="A5" s="4" t="inlineStr">
        <is>
          <t>6月縫製</t>
        </is>
      </c>
      <c r="B5" s="25" t="n">
        <v>4</v>
      </c>
      <c r="C5" s="8" t="n">
        <v>60000</v>
      </c>
      <c r="D5" s="8" t="n">
        <v>30480</v>
      </c>
      <c r="E5" s="8" t="n">
        <v>0</v>
      </c>
      <c r="F5" s="9">
        <f>D5+E5</f>
        <v/>
      </c>
      <c r="G5" s="26">
        <f>F5-C5</f>
        <v/>
      </c>
      <c r="H5" s="10">
        <f>IFERROR(F5/C5,"")</f>
        <v/>
      </c>
      <c r="I5" s="13" t="inlineStr">
        <is>
          <t>EXF対象期間外を含まず＝参考値 / reference only</t>
        </is>
      </c>
    </row>
    <row r="6">
      <c r="A6" s="4" t="inlineStr">
        <is>
          <t>7月縫製</t>
        </is>
      </c>
      <c r="B6" s="25" t="n">
        <v>4</v>
      </c>
      <c r="C6" s="8" t="n">
        <v>60000</v>
      </c>
      <c r="D6" s="8" t="n">
        <v>39132</v>
      </c>
      <c r="E6" s="8" t="n">
        <v>0</v>
      </c>
      <c r="F6" s="9">
        <f>D6+E6</f>
        <v/>
      </c>
      <c r="G6" s="26">
        <f>F6-C6</f>
        <v/>
      </c>
      <c r="H6" s="10">
        <f>IFERROR(F6/C6,"")</f>
        <v/>
      </c>
      <c r="I6" s="13" t="inlineStr">
        <is>
          <t>EXF対象期間外を含まず＝参考値 / reference only</t>
        </is>
      </c>
    </row>
    <row r="7">
      <c r="A7" s="4" t="inlineStr">
        <is>
          <t>8月縫製</t>
        </is>
      </c>
      <c r="B7" s="25" t="n">
        <v>4</v>
      </c>
      <c r="C7" s="5" t="n">
        <v>60000</v>
      </c>
      <c r="D7" s="5" t="n">
        <v>100188</v>
      </c>
      <c r="E7" s="5" t="n">
        <v>0</v>
      </c>
      <c r="F7" s="6">
        <f>D7+E7</f>
        <v/>
      </c>
      <c r="G7" s="11">
        <f>F7-C7</f>
        <v/>
      </c>
      <c r="H7" s="7">
        <f>IFERROR(F7/C7,"")</f>
        <v/>
      </c>
      <c r="I7" s="13" t="inlineStr"/>
    </row>
    <row r="8">
      <c r="A8" s="4" t="inlineStr">
        <is>
          <t>9月縫製</t>
        </is>
      </c>
      <c r="B8" s="25" t="n">
        <v>5</v>
      </c>
      <c r="C8" s="5" t="n">
        <v>108000</v>
      </c>
      <c r="D8" s="5" t="n">
        <v>20196</v>
      </c>
      <c r="E8" s="5" t="n">
        <v>0</v>
      </c>
      <c r="F8" s="23">
        <f>D8+E8</f>
        <v/>
      </c>
      <c r="G8" s="22">
        <f>F8-C8</f>
        <v/>
      </c>
      <c r="H8" s="24">
        <f>IFERROR(F8/C8,"")</f>
        <v/>
      </c>
      <c r="I8" s="13" t="inlineStr">
        <is>
          <t>5本目ライン稼働月。オーダーがほとんど入っていない / 5th line starts, almost no order loaded</t>
        </is>
      </c>
    </row>
    <row r="9">
      <c r="A9" s="4" t="inlineStr">
        <is>
          <t>10月縫製</t>
        </is>
      </c>
      <c r="B9" s="25" t="n">
        <v>6</v>
      </c>
      <c r="C9" s="5" t="n">
        <v>114000</v>
      </c>
      <c r="D9" s="5" t="n">
        <v>58649</v>
      </c>
      <c r="E9" s="5" t="n">
        <v>44652</v>
      </c>
      <c r="F9" s="6">
        <f>D9+E9</f>
        <v/>
      </c>
      <c r="G9" s="11">
        <f>F9-C9</f>
        <v/>
      </c>
      <c r="H9" s="7">
        <f>IFERROR(F9/C9,"")</f>
        <v/>
      </c>
      <c r="I9" s="13" t="inlineStr"/>
    </row>
    <row r="10">
      <c r="A10" s="4" t="inlineStr">
        <is>
          <t>11月縫製</t>
        </is>
      </c>
      <c r="B10" s="25" t="n">
        <v>7</v>
      </c>
      <c r="C10" s="5" t="n">
        <v>138000</v>
      </c>
      <c r="D10" s="5" t="n">
        <v>20400</v>
      </c>
      <c r="E10" s="5" t="n">
        <v>91812</v>
      </c>
      <c r="F10" s="6">
        <f>D10+E10</f>
        <v/>
      </c>
      <c r="G10" s="11">
        <f>F10-C10</f>
        <v/>
      </c>
      <c r="H10" s="7">
        <f>IFERROR(F10/C10,"")</f>
        <v/>
      </c>
      <c r="I10" s="13" t="inlineStr">
        <is>
          <t>未確定が82% / 82% not yet confirmed</t>
        </is>
      </c>
    </row>
    <row r="11">
      <c r="A11" s="4" t="inlineStr">
        <is>
          <t>12月縫製</t>
        </is>
      </c>
      <c r="B11" s="25" t="n">
        <v>8</v>
      </c>
      <c r="C11" s="5" t="n">
        <v>144000</v>
      </c>
      <c r="D11" s="5" t="n">
        <v>0</v>
      </c>
      <c r="E11" s="5" t="n">
        <v>10200</v>
      </c>
      <c r="F11" s="23">
        <f>D11+E11</f>
        <v/>
      </c>
      <c r="G11" s="22">
        <f>F11-C11</f>
        <v/>
      </c>
      <c r="H11" s="24">
        <f>IFERROR(F11/C11,"")</f>
        <v/>
      </c>
      <c r="I11" s="13" t="inlineStr">
        <is>
          <t>8ライン計画に対しオーダーほぼ無し、しかも全量未確定 / 8-line plan, almost no order and 100% unconfirmed</t>
        </is>
      </c>
    </row>
    <row r="12">
      <c r="A12" s="14" t="inlineStr">
        <is>
          <t>9-12月 合計 / Total</t>
        </is>
      </c>
      <c r="B12" s="17" t="inlineStr"/>
      <c r="C12" s="15">
        <f>SUM(C8:C11)</f>
        <v/>
      </c>
      <c r="D12" s="15">
        <f>SUM(D8:D11)</f>
        <v/>
      </c>
      <c r="E12" s="15">
        <f>SUM(E8:E11)</f>
        <v/>
      </c>
      <c r="F12" s="15">
        <f>SUM(F8:F11)</f>
        <v/>
      </c>
      <c r="G12" s="15">
        <f>F12-C12</f>
        <v/>
      </c>
      <c r="H12" s="16">
        <f>IFERROR(F12/C12,"")</f>
        <v/>
      </c>
      <c r="I12" s="18" t="inlineStr">
        <is>
          <t>10-12月の不足 約17万係数は 8/24会議コメント「10-12月縫製は17万係数過少」と一致 / matches the 8/24 meeting comment</t>
        </is>
      </c>
    </row>
    <row r="14">
      <c r="A14" s="19" t="inlineStr">
        <is>
          <t>【前提 / Assumptions】</t>
        </is>
      </c>
    </row>
    <row r="15">
      <c r="A15" s="20" t="inlineStr">
        <is>
          <t>・キャパ（計画）は「V6產能會議明細_20260824 / SOLO5.CABキャパ推移」シートの縫製月ベース係数をそのまま採用。</t>
        </is>
      </c>
    </row>
    <row r="16">
      <c r="A16" s="20" t="inlineStr">
        <is>
          <t>・オーダーは同ファイル IND シートの Maker=GLS5 の MK係数（確定／未確定に分解）。</t>
        </is>
      </c>
    </row>
    <row r="17">
      <c r="A17" s="20" t="inlineStr">
        <is>
          <t>・6-7月縫製は EXF対象期間（202609-202703）外の出荷分を含まないため過少（黄色）。</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4" customWidth="1" min="1" max="1"/>
    <col width="15" customWidth="1" min="2" max="2"/>
    <col width="15" customWidth="1" min="3" max="3"/>
    <col width="15" customWidth="1" min="4" max="4"/>
    <col width="15" customWidth="1" min="5" max="5"/>
    <col width="60" customWidth="1" min="6" max="6"/>
    <col width="15" customWidth="1" min="7" max="7"/>
    <col width="14" customWidth="1" min="8" max="8"/>
    <col width="15" customWidth="1" min="9" max="9"/>
    <col width="14" customWidth="1" min="10" max="10"/>
  </cols>
  <sheetData>
    <row r="1">
      <c r="A1" s="1" t="inlineStr">
        <is>
          <t>確定／未確定の内訳と実現度リスク ／ Confirmed vs Not-confirmed split and realization risk</t>
        </is>
      </c>
    </row>
    <row r="2">
      <c r="A2" s="2" t="inlineStr">
        <is>
          <t>単位：MK係数　基準：8/24キャパ会議（6-8月縫製は7/30会議）／ Unit: MK coefficient. Basis: 8/24 capacity meeting (Jun-Aug sewing: 7/30 meeting).</t>
        </is>
      </c>
    </row>
    <row r="4">
      <c r="A4" s="27" t="inlineStr">
        <is>
          <t>■ 1. 現時点の確定／未確定 内訳 ／ Current confirmed vs not-confirmed split</t>
        </is>
      </c>
    </row>
    <row r="5" ht="40" customHeight="1">
      <c r="A5" s="3" t="inlineStr">
        <is>
          <t>縫製月
Sewing month</t>
        </is>
      </c>
      <c r="B5" s="3" t="inlineStr">
        <is>
          <t>GLS1
確定</t>
        </is>
      </c>
      <c r="C5" s="3" t="inlineStr">
        <is>
          <t>GLS1
未確定</t>
        </is>
      </c>
      <c r="D5" s="3" t="inlineStr">
        <is>
          <t>GLS1
計</t>
        </is>
      </c>
      <c r="E5" s="3" t="inlineStr">
        <is>
          <t>GLS1
未確定比率</t>
        </is>
      </c>
      <c r="F5" s="3" t="inlineStr">
        <is>
          <t>GLS5
確定</t>
        </is>
      </c>
      <c r="G5" s="3" t="inlineStr">
        <is>
          <t>GLS5
未確定</t>
        </is>
      </c>
      <c r="H5" s="3" t="inlineStr">
        <is>
          <t>GLS5
計</t>
        </is>
      </c>
      <c r="I5" s="3" t="inlineStr">
        <is>
          <t>GLS1+5
未確定計</t>
        </is>
      </c>
      <c r="J5" s="3" t="inlineStr">
        <is>
          <t>GLS1+5
未確定比率</t>
        </is>
      </c>
    </row>
    <row r="6">
      <c r="A6" s="4" t="inlineStr">
        <is>
          <t>6月縫製</t>
        </is>
      </c>
      <c r="B6" s="5" t="n">
        <v>700008</v>
      </c>
      <c r="C6" s="5" t="n">
        <v>0</v>
      </c>
      <c r="D6" s="6">
        <f>B6+C6</f>
        <v/>
      </c>
      <c r="E6" s="7">
        <f>IFERROR(C6/D6,"")</f>
        <v/>
      </c>
      <c r="F6" s="5" t="n">
        <v>30480</v>
      </c>
      <c r="G6" s="5" t="n">
        <v>0</v>
      </c>
      <c r="H6" s="6">
        <f>F6+G6</f>
        <v/>
      </c>
      <c r="I6" s="11">
        <f>C6+G6</f>
        <v/>
      </c>
      <c r="J6" s="28">
        <f>IFERROR(I6/(D6+H6),"")</f>
        <v/>
      </c>
    </row>
    <row r="7">
      <c r="A7" s="4" t="inlineStr">
        <is>
          <t>7月縫製</t>
        </is>
      </c>
      <c r="B7" s="5" t="n">
        <v>563856</v>
      </c>
      <c r="C7" s="5" t="n">
        <v>0</v>
      </c>
      <c r="D7" s="6">
        <f>B7+C7</f>
        <v/>
      </c>
      <c r="E7" s="7">
        <f>IFERROR(C7/D7,"")</f>
        <v/>
      </c>
      <c r="F7" s="5" t="n">
        <v>39132</v>
      </c>
      <c r="G7" s="5" t="n">
        <v>0</v>
      </c>
      <c r="H7" s="6">
        <f>F7+G7</f>
        <v/>
      </c>
      <c r="I7" s="11">
        <f>C7+G7</f>
        <v/>
      </c>
      <c r="J7" s="28">
        <f>IFERROR(I7/(D7+H7),"")</f>
        <v/>
      </c>
    </row>
    <row r="8">
      <c r="A8" s="4" t="inlineStr">
        <is>
          <t>8月縫製</t>
        </is>
      </c>
      <c r="B8" s="5" t="n">
        <v>351924</v>
      </c>
      <c r="C8" s="5" t="n">
        <v>0</v>
      </c>
      <c r="D8" s="6">
        <f>B8+C8</f>
        <v/>
      </c>
      <c r="E8" s="7">
        <f>IFERROR(C8/D8,"")</f>
        <v/>
      </c>
      <c r="F8" s="5" t="n">
        <v>100188</v>
      </c>
      <c r="G8" s="5" t="n">
        <v>0</v>
      </c>
      <c r="H8" s="6">
        <f>F8+G8</f>
        <v/>
      </c>
      <c r="I8" s="11">
        <f>C8+G8</f>
        <v/>
      </c>
      <c r="J8" s="28">
        <f>IFERROR(I8/(D8+H8),"")</f>
        <v/>
      </c>
    </row>
    <row r="9">
      <c r="A9" s="4" t="inlineStr">
        <is>
          <t>9月縫製</t>
        </is>
      </c>
      <c r="B9" s="5" t="n">
        <v>586707</v>
      </c>
      <c r="C9" s="5" t="n">
        <v>0</v>
      </c>
      <c r="D9" s="6">
        <f>B9+C9</f>
        <v/>
      </c>
      <c r="E9" s="7">
        <f>IFERROR(C9/D9,"")</f>
        <v/>
      </c>
      <c r="F9" s="5" t="n">
        <v>20196</v>
      </c>
      <c r="G9" s="5" t="n">
        <v>0</v>
      </c>
      <c r="H9" s="6">
        <f>F9+G9</f>
        <v/>
      </c>
      <c r="I9" s="11">
        <f>C9+G9</f>
        <v/>
      </c>
      <c r="J9" s="28">
        <f>IFERROR(I9/(D9+H9),"")</f>
        <v/>
      </c>
    </row>
    <row r="10">
      <c r="A10" s="4" t="inlineStr">
        <is>
          <t>10月縫製</t>
        </is>
      </c>
      <c r="B10" s="5" t="n">
        <v>382882</v>
      </c>
      <c r="C10" s="29" t="n">
        <v>439464</v>
      </c>
      <c r="D10" s="6">
        <f>B10+C10</f>
        <v/>
      </c>
      <c r="E10" s="24">
        <f>IFERROR(C10/D10,"")</f>
        <v/>
      </c>
      <c r="F10" s="5" t="n">
        <v>58649</v>
      </c>
      <c r="G10" s="5" t="n">
        <v>44652</v>
      </c>
      <c r="H10" s="6">
        <f>F10+G10</f>
        <v/>
      </c>
      <c r="I10" s="22">
        <f>C10+G10</f>
        <v/>
      </c>
      <c r="J10" s="30">
        <f>IFERROR(I10/(D10+H10),"")</f>
        <v/>
      </c>
    </row>
    <row r="11">
      <c r="A11" s="4" t="inlineStr">
        <is>
          <t>11月縫製</t>
        </is>
      </c>
      <c r="B11" s="5" t="n">
        <v>82965</v>
      </c>
      <c r="C11" s="29" t="n">
        <v>769836</v>
      </c>
      <c r="D11" s="6">
        <f>B11+C11</f>
        <v/>
      </c>
      <c r="E11" s="24">
        <f>IFERROR(C11/D11,"")</f>
        <v/>
      </c>
      <c r="F11" s="5" t="n">
        <v>20400</v>
      </c>
      <c r="G11" s="5" t="n">
        <v>91812</v>
      </c>
      <c r="H11" s="6">
        <f>F11+G11</f>
        <v/>
      </c>
      <c r="I11" s="22">
        <f>C11+G11</f>
        <v/>
      </c>
      <c r="J11" s="30">
        <f>IFERROR(I11/(D11+H11),"")</f>
        <v/>
      </c>
    </row>
    <row r="12">
      <c r="A12" s="4" t="inlineStr">
        <is>
          <t>12月縫製</t>
        </is>
      </c>
      <c r="B12" s="5" t="n">
        <v>1872</v>
      </c>
      <c r="C12" s="29" t="n">
        <v>517266</v>
      </c>
      <c r="D12" s="6">
        <f>B12+C12</f>
        <v/>
      </c>
      <c r="E12" s="24">
        <f>IFERROR(C12/D12,"")</f>
        <v/>
      </c>
      <c r="F12" s="5" t="n">
        <v>0</v>
      </c>
      <c r="G12" s="5" t="n">
        <v>10200</v>
      </c>
      <c r="H12" s="6">
        <f>F12+G12</f>
        <v/>
      </c>
      <c r="I12" s="22">
        <f>C12+G12</f>
        <v/>
      </c>
      <c r="J12" s="30">
        <f>IFERROR(I12/(D12+H12),"")</f>
        <v/>
      </c>
    </row>
    <row r="14">
      <c r="A14" s="27" t="inlineStr">
        <is>
          <t>■ 2. 未確定分の実現率 実績 ／ Observed realization rate of the not-confirmed portion</t>
        </is>
      </c>
    </row>
    <row r="15" ht="40" customHeight="1">
      <c r="A15" s="3" t="inlineStr">
        <is>
          <t>縫製月</t>
        </is>
      </c>
      <c r="B15" s="3" t="inlineStr">
        <is>
          <t>前回会議
Prev meeting</t>
        </is>
      </c>
      <c r="C15" s="3" t="inlineStr">
        <is>
          <t>前回 確定
Prev confirmed</t>
        </is>
      </c>
      <c r="D15" s="3" t="inlineStr">
        <is>
          <t>前回 未確定
Prev not-conf</t>
        </is>
      </c>
      <c r="E15" s="3" t="inlineStr">
        <is>
          <t>最終 確定
Final confirmed</t>
        </is>
      </c>
      <c r="F15" s="3" t="inlineStr">
        <is>
          <t>未確定から実現
Realized</t>
        </is>
      </c>
      <c r="G15" s="3" t="inlineStr">
        <is>
          <t>実現率
Realization rate</t>
        </is>
      </c>
      <c r="H15" s="3" t="inlineStr">
        <is>
          <t>備考 / Remark</t>
        </is>
      </c>
    </row>
    <row r="16">
      <c r="A16" s="4" t="inlineStr">
        <is>
          <t>8月縫製</t>
        </is>
      </c>
      <c r="B16" s="12" t="inlineStr">
        <is>
          <t>6/18会議 → 7/30会議</t>
        </is>
      </c>
      <c r="C16" s="5" t="n">
        <v>239064</v>
      </c>
      <c r="D16" s="5" t="n">
        <v>250608</v>
      </c>
      <c r="E16" s="5" t="n">
        <v>351924</v>
      </c>
      <c r="F16" s="6">
        <f>E16-C16</f>
        <v/>
      </c>
      <c r="G16" s="30">
        <f>IFERROR(F16/D16,"")</f>
        <v/>
      </c>
      <c r="H16" s="13" t="inlineStr">
        <is>
          <t>前回未確定の45%しか実現せず / only 45% of the unconfirmed volume materialized</t>
        </is>
      </c>
    </row>
    <row r="17">
      <c r="A17" s="4" t="inlineStr">
        <is>
          <t>9月縫製</t>
        </is>
      </c>
      <c r="B17" s="12" t="inlineStr">
        <is>
          <t>6/18会議 → 8/24会議</t>
        </is>
      </c>
      <c r="C17" s="5" t="n">
        <v>0</v>
      </c>
      <c r="D17" s="5" t="n">
        <v>903924</v>
      </c>
      <c r="E17" s="5" t="n">
        <v>586707</v>
      </c>
      <c r="F17" s="6">
        <f>E17-C17</f>
        <v/>
      </c>
      <c r="G17" s="30">
        <f>IFERROR(F17/D17,"")</f>
        <v/>
      </c>
      <c r="H17" s="13" t="inlineStr">
        <is>
          <t>全量が未確定だったが、実現したのは65% / all volume was unconfirmed; 65% materialized</t>
        </is>
      </c>
    </row>
    <row r="18">
      <c r="A18" s="14" t="inlineStr">
        <is>
          <t>合計／加重平均 / Total &amp; weighted avg</t>
        </is>
      </c>
      <c r="B18" s="15" t="inlineStr"/>
      <c r="C18" s="15">
        <f>SUM(C16:C17)</f>
        <v/>
      </c>
      <c r="D18" s="15">
        <f>SUM(D16:D17)</f>
        <v/>
      </c>
      <c r="E18" s="15">
        <f>SUM(E16:E17)</f>
        <v/>
      </c>
      <c r="F18" s="15">
        <f>SUM(F16:F17)</f>
        <v/>
      </c>
      <c r="G18" s="16">
        <f>IFERROR(F18/D18,"")</f>
        <v/>
      </c>
      <c r="H18" s="18" t="inlineStr">
        <is>
          <t>加重平均。この2ヶ月が「ブッキング後に減少した」実績月です / weighted average over the two months that shrank after booking</t>
        </is>
      </c>
    </row>
    <row r="20">
      <c r="A20" s="27" t="inlineStr">
        <is>
          <t>■ 3. 実現率シナリオを 10-12月縫製に適用した場合の見込み ／ Scenario: applying the observed realization rate to Oct-Dec sewing</t>
        </is>
      </c>
    </row>
    <row r="21">
      <c r="A21" s="20" t="inlineStr">
        <is>
          <t>見込み ＝ 確定分 ＋ 未確定分 × 実現率。あくまで過去実績に基づく試算であり、確定した数字ではありません / Estimate = confirmed + not-confirmed × realization rate. Illustrative, not a committed figure.</t>
        </is>
      </c>
    </row>
    <row r="22">
      <c r="A22" s="19" t="inlineStr">
        <is>
          <t>実現率シナリオ / Realization rate scenarios（黄色＝入力セル / yellow = input cells）</t>
        </is>
      </c>
    </row>
    <row r="23">
      <c r="A23" s="4" t="inlineStr">
        <is>
          <t>実現率 / Rate</t>
        </is>
      </c>
      <c r="B23" s="31" t="inlineStr">
        <is>
          <t>悲観 45%</t>
        </is>
      </c>
      <c r="C23" s="31" t="inlineStr">
        <is>
          <t>中位 55%</t>
        </is>
      </c>
      <c r="D23" s="31" t="inlineStr">
        <is>
          <t>楽観 65%</t>
        </is>
      </c>
    </row>
    <row r="24">
      <c r="A24" s="32" t="inlineStr"/>
      <c r="B24" s="33" t="n">
        <v>0.45</v>
      </c>
      <c r="C24" s="33" t="n">
        <v>0.55</v>
      </c>
      <c r="D24" s="33" t="n">
        <v>0.65</v>
      </c>
    </row>
    <row r="26" ht="40" customHeight="1">
      <c r="A26" s="3" t="inlineStr">
        <is>
          <t>縫製月
Sewing month</t>
        </is>
      </c>
      <c r="B26" s="3" t="inlineStr">
        <is>
          <t>GLS1+5
キャパ計</t>
        </is>
      </c>
      <c r="C26" s="3" t="inlineStr">
        <is>
          <t>確定分
Confirmed</t>
        </is>
      </c>
      <c r="D26" s="3" t="inlineStr">
        <is>
          <t>未確定分
Not confirmed</t>
        </is>
      </c>
      <c r="E26" s="3" t="inlineStr">
        <is>
          <t>見込み 45%
Estimate</t>
        </is>
      </c>
      <c r="F26" s="3" t="inlineStr">
        <is>
          <t>差異 45%
Gap</t>
        </is>
      </c>
      <c r="G26" s="3" t="inlineStr">
        <is>
          <t>見込み 55%
Estimate</t>
        </is>
      </c>
      <c r="H26" s="3" t="inlineStr">
        <is>
          <t>差異 55%
Gap</t>
        </is>
      </c>
      <c r="I26" s="3" t="inlineStr">
        <is>
          <t>見込み 65%
Estimate</t>
        </is>
      </c>
      <c r="J26" s="3" t="inlineStr">
        <is>
          <t>差異 65%
Gap</t>
        </is>
      </c>
    </row>
    <row r="27">
      <c r="A27" s="4" t="inlineStr">
        <is>
          <t>10月縫製</t>
        </is>
      </c>
      <c r="B27" s="5" t="n">
        <v>786000</v>
      </c>
      <c r="C27" s="6">
        <f>B10+F10</f>
        <v/>
      </c>
      <c r="D27" s="6">
        <f>C10+G10</f>
        <v/>
      </c>
      <c r="E27" s="6">
        <f>C27+D27*$B$24</f>
        <v/>
      </c>
      <c r="F27" s="22">
        <f>E27-B27</f>
        <v/>
      </c>
      <c r="G27" s="6">
        <f>C27+D27*$C$24</f>
        <v/>
      </c>
      <c r="H27" s="22">
        <f>G27-B27</f>
        <v/>
      </c>
      <c r="I27" s="6">
        <f>C27+D27*$D$24</f>
        <v/>
      </c>
      <c r="J27" s="22">
        <f>I27-B27</f>
        <v/>
      </c>
    </row>
    <row r="28">
      <c r="A28" s="4" t="inlineStr">
        <is>
          <t>11月縫製</t>
        </is>
      </c>
      <c r="B28" s="5" t="n">
        <v>810000</v>
      </c>
      <c r="C28" s="6">
        <f>B11+F11</f>
        <v/>
      </c>
      <c r="D28" s="6">
        <f>C11+G11</f>
        <v/>
      </c>
      <c r="E28" s="6">
        <f>C28+D28*$B$24</f>
        <v/>
      </c>
      <c r="F28" s="22">
        <f>E28-B28</f>
        <v/>
      </c>
      <c r="G28" s="6">
        <f>C28+D28*$C$24</f>
        <v/>
      </c>
      <c r="H28" s="22">
        <f>G28-B28</f>
        <v/>
      </c>
      <c r="I28" s="6">
        <f>C28+D28*$D$24</f>
        <v/>
      </c>
      <c r="J28" s="22">
        <f>I28-B28</f>
        <v/>
      </c>
    </row>
    <row r="29">
      <c r="A29" s="4" t="inlineStr">
        <is>
          <t>12月縫製</t>
        </is>
      </c>
      <c r="B29" s="5" t="n">
        <v>816000</v>
      </c>
      <c r="C29" s="6">
        <f>B12+F12</f>
        <v/>
      </c>
      <c r="D29" s="6">
        <f>C12+G12</f>
        <v/>
      </c>
      <c r="E29" s="6">
        <f>C29+D29*$B$24</f>
        <v/>
      </c>
      <c r="F29" s="22">
        <f>E29-B29</f>
        <v/>
      </c>
      <c r="G29" s="6">
        <f>C29+D29*$C$24</f>
        <v/>
      </c>
      <c r="H29" s="22">
        <f>G29-B29</f>
        <v/>
      </c>
      <c r="I29" s="6">
        <f>C29+D29*$D$24</f>
        <v/>
      </c>
      <c r="J29" s="22">
        <f>I29-B29</f>
        <v/>
      </c>
    </row>
    <row r="30">
      <c r="A30" s="14" t="inlineStr">
        <is>
          <t>10-12月 合計 / Total</t>
        </is>
      </c>
      <c r="B30" s="15">
        <f>SUM(B27:B29)</f>
        <v/>
      </c>
      <c r="C30" s="15">
        <f>SUM(C27:C29)</f>
        <v/>
      </c>
      <c r="D30" s="15">
        <f>SUM(D27:D29)</f>
        <v/>
      </c>
      <c r="E30" s="15">
        <f>SUM(E27:E29)</f>
        <v/>
      </c>
      <c r="F30" s="15">
        <f>SUM(F27:F29)</f>
        <v/>
      </c>
      <c r="G30" s="15">
        <f>SUM(G27:G29)</f>
        <v/>
      </c>
      <c r="H30" s="15">
        <f>SUM(H27:H29)</f>
        <v/>
      </c>
      <c r="I30" s="15">
        <f>SUM(I27:I29)</f>
        <v/>
      </c>
      <c r="J30" s="15">
        <f>SUM(J27:J29)</f>
        <v/>
      </c>
    </row>
    <row r="32">
      <c r="A32" s="19" t="inlineStr">
        <is>
          <t>【この表の使い方 / How to use】</t>
        </is>
      </c>
    </row>
    <row r="33">
      <c r="A33" s="20" t="inlineStr">
        <is>
          <t>・GU 様は 8/24会議で「10-12月縫製は平均73万係数なので GLS1 は問題ない」とご説明されています。</t>
        </is>
      </c>
    </row>
    <row r="34">
      <c r="A34" s="20" t="inlineStr">
        <is>
          <t>・しかしその数量の 53%（10月）／90%（11月）／99.6%（12月）は、現時点でまだ未確定（Not confirmed）です。</t>
        </is>
      </c>
    </row>
    <row r="35">
      <c r="A35" s="20" t="inlineStr">
        <is>
          <t>・8月縫製・9月縫製の実績では、未確定分のうち実現したのは 45%／65% にとどまりました。</t>
        </is>
      </c>
    </row>
    <row r="36">
      <c r="A36" s="20" t="inlineStr">
        <is>
          <t>・同じ実現率が続いた場合、10-12月縫製にも上表のとおりの不足が生じる見込みです。</t>
        </is>
      </c>
    </row>
    <row r="37">
      <c r="A37" s="20" t="inlineStr">
        <is>
          <t>・したがって「平均で足りている」ではなく、ブッキング済み月の実現度を管理する仕組みが必要と考えております。</t>
        </is>
      </c>
    </row>
    <row r="38">
      <c r="A38" s="20" t="inlineStr">
        <is>
          <t>・GU has stated that Oct-Dec sewing averages 730k coefficient and is therefore fine. However 53% / 90% / 99.6% of that volume is still Not confirmed,</t>
        </is>
      </c>
    </row>
    <row r="39">
      <c r="A39" s="20" t="inlineStr">
        <is>
          <t xml:space="preserve">  and the observed realization rate of unconfirmed volume was only 45% (Aug sewing) and 65% (Sep sewing).</t>
        </is>
      </c>
    </row>
    <row r="40">
      <c r="A40" s="20" t="inlineStr">
        <is>
          <t>・【留意】12月縫製は縫製開始まで約3ヶ月あり、今後の新規オーダー追加余地があります。本シナリオは「新規追加がなく、過去と同じ実現率が続いた場合」の試算です / Note: Dec sewing is still ~3 months out and new orders can still be added; this scenario assumes no additions.</t>
        </is>
      </c>
    </row>
    <row r="42">
      <c r="A42" s="27" t="inlineStr">
        <is>
          <t>■ 4. 各縫製月のピーク量 比較（前提不要の事実）／ Peak volume by sewing month - a fact requiring no assumption</t>
        </is>
      </c>
    </row>
    <row r="43" ht="40" customHeight="1">
      <c r="A43" s="3" t="inlineStr">
        <is>
          <t>縫製月
Sewing month</t>
        </is>
      </c>
      <c r="B43" s="3" t="inlineStr">
        <is>
          <t>ピーク量
Peak volume</t>
        </is>
      </c>
      <c r="C43" s="3" t="inlineStr">
        <is>
          <t>ピーク時会議
Peak meeting</t>
        </is>
      </c>
      <c r="D43" s="3" t="inlineStr">
        <is>
          <t>MIN 672,000
との差</t>
        </is>
      </c>
      <c r="E43" s="3" t="inlineStr">
        <is>
          <t>ピーク後の減少
Loss after peak</t>
        </is>
      </c>
      <c r="F43" s="3" t="inlineStr">
        <is>
          <t>備考 / Remark</t>
        </is>
      </c>
    </row>
    <row r="44">
      <c r="A44" s="4" t="inlineStr">
        <is>
          <t>6月縫製</t>
        </is>
      </c>
      <c r="B44" s="5" t="n">
        <v>766393</v>
      </c>
      <c r="C44" s="12" t="inlineStr">
        <is>
          <t>4/16会議</t>
        </is>
      </c>
      <c r="D44" s="6">
        <f>B44-672000</f>
        <v/>
      </c>
      <c r="E44" s="6" t="n">
        <v>-66385</v>
      </c>
      <c r="F44" s="13" t="inlineStr"/>
    </row>
    <row r="45">
      <c r="A45" s="4" t="inlineStr">
        <is>
          <t>7月縫製</t>
        </is>
      </c>
      <c r="B45" s="5" t="n">
        <v>563856</v>
      </c>
      <c r="C45" s="12" t="inlineStr">
        <is>
          <t>7/30会議</t>
        </is>
      </c>
      <c r="D45" s="6">
        <f>B45-672000</f>
        <v/>
      </c>
      <c r="E45" s="6" t="n">
        <v>0</v>
      </c>
      <c r="F45" s="13" t="inlineStr">
        <is>
          <t>5/21会議で320,940まで落ち込み、22部門品番の投入で回復</t>
        </is>
      </c>
    </row>
    <row r="46">
      <c r="A46" s="4" t="inlineStr">
        <is>
          <t>8月縫製</t>
        </is>
      </c>
      <c r="B46" s="5" t="n">
        <v>565536</v>
      </c>
      <c r="C46" s="12" t="inlineStr">
        <is>
          <t>5/21会議</t>
        </is>
      </c>
      <c r="D46" s="6">
        <f>B46-672000</f>
        <v/>
      </c>
      <c r="E46" s="6" t="n">
        <v>-213612</v>
      </c>
      <c r="F46" s="13" t="inlineStr"/>
    </row>
    <row r="47">
      <c r="A47" s="4" t="inlineStr">
        <is>
          <t>9月縫製</t>
        </is>
      </c>
      <c r="B47" s="5" t="n">
        <v>963288</v>
      </c>
      <c r="C47" s="12" t="inlineStr">
        <is>
          <t>5/21会議</t>
        </is>
      </c>
      <c r="D47" s="6">
        <f>B47-672000</f>
        <v/>
      </c>
      <c r="E47" s="6" t="n">
        <v>-376581</v>
      </c>
      <c r="F47" s="13" t="inlineStr"/>
    </row>
    <row r="48">
      <c r="A48" s="4" t="inlineStr">
        <is>
          <t>10月縫製</t>
        </is>
      </c>
      <c r="B48" s="5" t="n">
        <v>887781</v>
      </c>
      <c r="C48" s="12" t="inlineStr">
        <is>
          <t>7/30会議</t>
        </is>
      </c>
      <c r="D48" s="6">
        <f>B48-672000</f>
        <v/>
      </c>
      <c r="E48" s="6" t="n">
        <v>-65435</v>
      </c>
      <c r="F48" s="13" t="inlineStr"/>
    </row>
    <row r="49">
      <c r="A49" s="4" t="inlineStr">
        <is>
          <t>11月縫製</t>
        </is>
      </c>
      <c r="B49" s="5" t="n">
        <v>902810</v>
      </c>
      <c r="C49" s="12" t="inlineStr">
        <is>
          <t>7/30会議</t>
        </is>
      </c>
      <c r="D49" s="6">
        <f>B49-672000</f>
        <v/>
      </c>
      <c r="E49" s="6" t="n">
        <v>-50009</v>
      </c>
      <c r="F49" s="13" t="inlineStr"/>
    </row>
    <row r="50">
      <c r="A50" s="34" t="inlineStr">
        <is>
          <t>12月縫製</t>
        </is>
      </c>
      <c r="B50" s="29" t="n">
        <v>519138</v>
      </c>
      <c r="C50" s="12" t="inlineStr">
        <is>
          <t>8/24会議</t>
        </is>
      </c>
      <c r="D50" s="23">
        <f>B50-672000</f>
        <v/>
      </c>
      <c r="E50" s="6" t="n">
        <v>0</v>
      </c>
      <c r="F50" s="13" t="inlineStr">
        <is>
          <t>★6-12月で最も低いピーク。既に MIN より23%低く、他の全ての月はピーク後に減少している / lowest peak of the period, already 23% below MIN</t>
        </is>
      </c>
    </row>
    <row r="51">
      <c r="A51" s="14" t="inlineStr">
        <is>
          <t>ピーク後の減少 合計 / Total loss after peak</t>
        </is>
      </c>
      <c r="B51" s="17" t="inlineStr"/>
      <c r="C51" s="17" t="inlineStr"/>
      <c r="D51" s="17" t="inlineStr"/>
      <c r="E51" s="15">
        <f>SUM(E44:E50)</f>
        <v/>
      </c>
      <c r="F51" s="18" t="inlineStr">
        <is>
          <t>GLS1 の約1.15ヶ月分の全工場キャパに相当 / equivalent to ~1.15 months of GLS1 full capacity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2026-08-27T06:32:58Z</dcterms:created>
  <dcterms:modified xsi:type="dcterms:W3CDTF">2026-08-27T06:32:58Z</dcterms:modified>
</cp:coreProperties>
</file>