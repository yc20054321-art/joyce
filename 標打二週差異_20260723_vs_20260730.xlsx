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部門x款號 差異" sheetId="2" state="visible" r:id="rId2"/>
    <sheet name="部門x款號x工廠 明細" sheetId="3" state="visible" r:id="rId3"/>
    <sheet name="有變動款號(排序)" sheetId="4" state="visible" r:id="rId4"/>
    <sheet name="SMG_SOLO 說明" sheetId="5" state="visible" r:id="rId5"/>
  </sheets>
  <definedNames>
    <definedName name="_xlnm._FilterDatabase" localSheetId="1" hidden="1">'部門x款號 差異'!$A$1:$H$226</definedName>
    <definedName name="_xlnm._FilterDatabase" localSheetId="2" hidden="1">'部門x款號x工廠 明細'!$A$1:$I$234</definedName>
    <definedName name="_xlnm._FilterDatabase" localSheetId="3" hidden="1">'有變動款號(排序)'!$A$1:$H$118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595959"/>
      <sz val="9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9" fillId="3" borderId="0" pivotButton="0" quotePrefix="0" xfId="0"/>
    <xf numFmtId="164" fontId="9" fillId="3" borderId="0" pivotButton="0" quotePrefix="0" xfId="0"/>
    <xf numFmtId="165" fontId="9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9" fillId="0" borderId="1" pivotButton="0" quotePrefix="0" xfId="0"/>
    <xf numFmtId="165" fontId="9" fillId="0" borderId="1" pivotButton="0" quotePrefix="0" xfId="0"/>
    <xf numFmtId="0" fontId="0" fillId="3" borderId="0" pivotButton="0" quotePrefix="0" xfId="0"/>
    <xf numFmtId="164" fontId="9" fillId="3" borderId="1" pivotButton="0" quotePrefix="0" xfId="0"/>
    <xf numFmtId="165" fontId="9" fillId="3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  <sz val="10"/>
      </font>
    </dxf>
    <dxf>
      <font>
        <name val="Arial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標打(Total by MK/dz) 二週差異比較：2026/07/23 → 2026/07/30</t>
        </is>
      </c>
      <c r="B1" s="2" t="n"/>
      <c r="C1" s="2" t="n"/>
      <c r="D1" s="2" t="n"/>
      <c r="E1" s="3" t="n"/>
    </row>
    <row r="2">
      <c r="A2" s="4" t="inlineStr">
        <is>
          <t>基準欄位：各廠表「Total (by MK/dz)」= 標打；比較維度：BY 部門(div.) / BY 款號(style 取前10碼)</t>
        </is>
      </c>
      <c r="B2" s="2" t="n"/>
      <c r="C2" s="2" t="n"/>
      <c r="D2" s="2" t="n"/>
      <c r="E2" s="3" t="n"/>
    </row>
    <row r="3">
      <c r="B3" s="2" t="n"/>
      <c r="C3" s="2" t="n"/>
      <c r="D3" s="2" t="n"/>
      <c r="E3" s="3" t="n"/>
    </row>
    <row r="4">
      <c r="A4" s="5" t="inlineStr">
        <is>
          <t>一、總量</t>
        </is>
      </c>
      <c r="B4" s="2" t="n"/>
      <c r="C4" s="2" t="n"/>
      <c r="D4" s="2" t="n"/>
      <c r="E4" s="3" t="n"/>
    </row>
    <row r="5" ht="30" customHeight="1">
      <c r="A5" s="6" t="inlineStr">
        <is>
          <t>項目</t>
        </is>
      </c>
      <c r="B5" s="7" t="inlineStr">
        <is>
          <t>07/23 標打</t>
        </is>
      </c>
      <c r="C5" s="7" t="inlineStr">
        <is>
          <t>07/30 標打</t>
        </is>
      </c>
      <c r="D5" s="7" t="inlineStr">
        <is>
          <t>差異</t>
        </is>
      </c>
      <c r="E5" s="8" t="inlineStr">
        <is>
          <t>差異%</t>
        </is>
      </c>
    </row>
    <row r="6">
      <c r="A6" s="9" t="inlineStr">
        <is>
          <t>全體合計</t>
        </is>
      </c>
      <c r="B6" s="10" t="n">
        <v>2566885</v>
      </c>
      <c r="C6" s="10" t="n">
        <v>2497332</v>
      </c>
      <c r="D6" s="10">
        <f>C6-B6</f>
        <v>-69553</v>
      </c>
      <c r="E6" s="11">
        <f>IFERROR(D6/B6,"")</f>
        <v>-0.0270962665</v>
      </c>
    </row>
    <row r="7">
      <c r="B7" s="2" t="n"/>
      <c r="C7" s="2" t="n"/>
      <c r="D7" s="2" t="n"/>
      <c r="E7" s="3" t="n"/>
    </row>
    <row r="8">
      <c r="A8" s="5" t="inlineStr">
        <is>
          <t>二、BY 部門 (div.)</t>
        </is>
      </c>
      <c r="B8" s="2" t="n"/>
      <c r="C8" s="2" t="n"/>
      <c r="D8" s="2" t="n"/>
      <c r="E8" s="3" t="n"/>
    </row>
    <row r="9" ht="30" customHeight="1">
      <c r="A9" s="6" t="inlineStr">
        <is>
          <t>部門 div.</t>
        </is>
      </c>
      <c r="B9" s="7" t="inlineStr">
        <is>
          <t>07/23 標打</t>
        </is>
      </c>
      <c r="C9" s="7" t="inlineStr">
        <is>
          <t>07/30 標打</t>
        </is>
      </c>
      <c r="D9" s="7" t="inlineStr">
        <is>
          <t>差異</t>
        </is>
      </c>
      <c r="E9" s="8" t="inlineStr">
        <is>
          <t>差異%</t>
        </is>
      </c>
    </row>
    <row r="10">
      <c r="A10" s="9" t="inlineStr">
        <is>
          <t>GU-22</t>
        </is>
      </c>
      <c r="B10" s="10" t="n">
        <v>1327157</v>
      </c>
      <c r="C10" s="10" t="n">
        <v>1297916</v>
      </c>
      <c r="D10" s="10">
        <f>C10-B10</f>
        <v>-29241</v>
      </c>
      <c r="E10" s="11">
        <f>IFERROR(D10/B10,"")</f>
        <v>-0.0220328115</v>
      </c>
    </row>
    <row r="11">
      <c r="A11" s="9" t="inlineStr">
        <is>
          <t>GU-32</t>
        </is>
      </c>
      <c r="B11" s="10" t="n">
        <v>564297</v>
      </c>
      <c r="C11" s="10" t="n">
        <v>564214</v>
      </c>
      <c r="D11" s="10">
        <f>C11-B11</f>
        <v>-83</v>
      </c>
      <c r="E11" s="11">
        <f>IFERROR(D11/B11,"")</f>
        <v>-0.0001470857</v>
      </c>
    </row>
    <row r="12">
      <c r="A12" s="9" t="inlineStr">
        <is>
          <t>GU-23</t>
        </is>
      </c>
      <c r="B12" s="10" t="n">
        <v>262093</v>
      </c>
      <c r="C12" s="10" t="n">
        <v>230433</v>
      </c>
      <c r="D12" s="10">
        <f>C12-B12</f>
        <v>-31660</v>
      </c>
      <c r="E12" s="11">
        <f>IFERROR(D12/B12,"")</f>
        <v>-0.1207968164</v>
      </c>
    </row>
    <row r="13">
      <c r="A13" s="9" t="inlineStr">
        <is>
          <t>GU-27</t>
        </is>
      </c>
      <c r="B13" s="10" t="n">
        <v>152485</v>
      </c>
      <c r="C13" s="10" t="n">
        <v>153125</v>
      </c>
      <c r="D13" s="10">
        <f>C13-B13</f>
        <v>640</v>
      </c>
      <c r="E13" s="11">
        <f>IFERROR(D13/B13,"")</f>
        <v>0.0041971341</v>
      </c>
    </row>
    <row r="14">
      <c r="A14" s="9" t="inlineStr">
        <is>
          <t>GU-12</t>
        </is>
      </c>
      <c r="B14" s="10" t="n">
        <v>152795</v>
      </c>
      <c r="C14" s="10" t="n">
        <v>151330</v>
      </c>
      <c r="D14" s="10">
        <f>C14-B14</f>
        <v>-1465</v>
      </c>
      <c r="E14" s="11">
        <f>IFERROR(D14/B14,"")</f>
        <v>-0.0095880101</v>
      </c>
    </row>
    <row r="15">
      <c r="A15" s="9" t="inlineStr">
        <is>
          <t>GU-17</t>
        </is>
      </c>
      <c r="B15" s="10" t="n">
        <v>37452</v>
      </c>
      <c r="C15" s="10" t="n">
        <v>36689</v>
      </c>
      <c r="D15" s="10">
        <f>C15-B15</f>
        <v>-763</v>
      </c>
      <c r="E15" s="11">
        <f>IFERROR(D15/B15,"")</f>
        <v>-0.0203727438</v>
      </c>
    </row>
    <row r="16">
      <c r="A16" s="9" t="inlineStr">
        <is>
          <t>GU-14</t>
        </is>
      </c>
      <c r="B16" s="10" t="n">
        <v>19084</v>
      </c>
      <c r="C16" s="10" t="n">
        <v>19263</v>
      </c>
      <c r="D16" s="10">
        <f>C16-B16</f>
        <v>179</v>
      </c>
      <c r="E16" s="11">
        <f>IFERROR(D16/B16,"")</f>
        <v>0.009379585</v>
      </c>
    </row>
    <row r="17">
      <c r="A17" s="9" t="inlineStr">
        <is>
          <t>GU-34</t>
        </is>
      </c>
      <c r="B17" s="10" t="n">
        <v>26025</v>
      </c>
      <c r="C17" s="10" t="n">
        <v>13012</v>
      </c>
      <c r="D17" s="10">
        <f>C17-B17</f>
        <v>-13013</v>
      </c>
      <c r="E17" s="11">
        <f>IFERROR(D17/B17,"")</f>
        <v>-0.5000192123</v>
      </c>
    </row>
    <row r="18">
      <c r="A18" s="9" t="inlineStr">
        <is>
          <t>GU-37</t>
        </is>
      </c>
      <c r="B18" s="10" t="n">
        <v>10316</v>
      </c>
      <c r="C18" s="10" t="n">
        <v>10317</v>
      </c>
      <c r="D18" s="10">
        <f>C18-B18</f>
        <v>1</v>
      </c>
      <c r="E18" s="11">
        <f>IFERROR(D18/B18,"")</f>
        <v>9.69368e-05</v>
      </c>
    </row>
    <row r="19">
      <c r="A19" s="9" t="inlineStr">
        <is>
          <t>GU-13</t>
        </is>
      </c>
      <c r="B19" s="10" t="n">
        <v>4437</v>
      </c>
      <c r="C19" s="10" t="n">
        <v>10153</v>
      </c>
      <c r="D19" s="10">
        <f>C19-B19</f>
        <v>5716</v>
      </c>
      <c r="E19" s="11">
        <f>IFERROR(D19/B19,"")</f>
        <v>1.2882578319</v>
      </c>
    </row>
    <row r="20">
      <c r="A20" s="9" t="inlineStr">
        <is>
          <t>GU-11</t>
        </is>
      </c>
      <c r="B20" s="10" t="n">
        <v>7650</v>
      </c>
      <c r="C20" s="10" t="n">
        <v>7786</v>
      </c>
      <c r="D20" s="10">
        <f>C20-B20</f>
        <v>136</v>
      </c>
      <c r="E20" s="11">
        <f>IFERROR(D20/B20,"")</f>
        <v>0.0177777778</v>
      </c>
    </row>
    <row r="21">
      <c r="A21" s="9" t="inlineStr">
        <is>
          <t>GU-33</t>
        </is>
      </c>
      <c r="B21" s="10" t="n">
        <v>3094</v>
      </c>
      <c r="C21" s="10" t="n">
        <v>3094</v>
      </c>
      <c r="D21" s="10">
        <f>C21-B21</f>
        <v>0</v>
      </c>
      <c r="E21" s="11">
        <f>IFERROR(D21/B21,"")</f>
        <v>0.0</v>
      </c>
    </row>
    <row r="22">
      <c r="A22" s="12" t="inlineStr">
        <is>
          <t>合計</t>
        </is>
      </c>
      <c r="B22" s="13">
        <f>SUM(B10:B21)</f>
        <v>2566885</v>
      </c>
      <c r="C22" s="13">
        <f>SUM(C10:C21)</f>
        <v>2497332</v>
      </c>
      <c r="D22" s="13">
        <f>C22-B22</f>
        <v>-69553</v>
      </c>
      <c r="E22" s="14">
        <f>IFERROR(D22/B22,"")</f>
        <v>-0.0270962665</v>
      </c>
    </row>
    <row r="23">
      <c r="B23" s="2" t="n"/>
      <c r="C23" s="2" t="n"/>
      <c r="D23" s="2" t="n"/>
      <c r="E23" s="3" t="n"/>
    </row>
    <row r="24">
      <c r="A24" s="5" t="inlineStr">
        <is>
          <t>三、BY 工廠 (分頁)</t>
        </is>
      </c>
      <c r="B24" s="2" t="n"/>
      <c r="C24" s="2" t="n"/>
      <c r="D24" s="2" t="n"/>
      <c r="E24" s="3" t="n"/>
    </row>
    <row r="25" ht="30" customHeight="1">
      <c r="A25" s="6" t="inlineStr">
        <is>
          <t>工廠 / 分頁</t>
        </is>
      </c>
      <c r="B25" s="7" t="inlineStr">
        <is>
          <t>07/23 標打</t>
        </is>
      </c>
      <c r="C25" s="7" t="inlineStr">
        <is>
          <t>07/30 標打</t>
        </is>
      </c>
      <c r="D25" s="7" t="inlineStr">
        <is>
          <t>差異</t>
        </is>
      </c>
      <c r="E25" s="8" t="inlineStr">
        <is>
          <t>差異%</t>
        </is>
      </c>
    </row>
    <row r="26">
      <c r="A26" s="9" t="inlineStr">
        <is>
          <t>CAB</t>
        </is>
      </c>
      <c r="B26" s="10" t="n">
        <v>255451</v>
      </c>
      <c r="C26" s="10" t="n">
        <v>255196</v>
      </c>
      <c r="D26" s="10">
        <f>C26-B26</f>
        <v>-255</v>
      </c>
      <c r="E26" s="11">
        <f>IFERROR(D26/B26,"")</f>
        <v>-0.0009982345</v>
      </c>
    </row>
    <row r="27">
      <c r="A27" s="9" t="inlineStr">
        <is>
          <t>CHN</t>
        </is>
      </c>
      <c r="B27" s="10" t="n">
        <v>232765</v>
      </c>
      <c r="C27" s="10" t="n">
        <v>246891</v>
      </c>
      <c r="D27" s="10">
        <f>C27-B27</f>
        <v>14126</v>
      </c>
      <c r="E27" s="11">
        <f>IFERROR(D27/B27,"")</f>
        <v>0.0606878182</v>
      </c>
    </row>
    <row r="28">
      <c r="A28" s="9" t="inlineStr">
        <is>
          <t>NVN</t>
        </is>
      </c>
      <c r="B28" s="10" t="n">
        <v>493688</v>
      </c>
      <c r="C28" s="10" t="n">
        <v>452876</v>
      </c>
      <c r="D28" s="10">
        <f>C28-B28</f>
        <v>-40812</v>
      </c>
      <c r="E28" s="11">
        <f>IFERROR(D28/B28,"")</f>
        <v>-0.0826675957</v>
      </c>
    </row>
    <row r="29">
      <c r="A29" s="9" t="inlineStr">
        <is>
          <t>SMG</t>
        </is>
      </c>
      <c r="B29" s="10" t="n">
        <v>1584981</v>
      </c>
      <c r="C29" s="10" t="n">
        <v>1542369</v>
      </c>
      <c r="D29" s="10">
        <f>C29-B29</f>
        <v>-42612</v>
      </c>
      <c r="E29" s="11">
        <f>IFERROR(D29/B29,"")</f>
        <v>-0.0268848649</v>
      </c>
    </row>
    <row r="30">
      <c r="A30" s="12" t="inlineStr">
        <is>
          <t>合計</t>
        </is>
      </c>
      <c r="B30" s="13">
        <f>SUM(B26:B29)</f>
        <v>2566885</v>
      </c>
      <c r="C30" s="13">
        <f>SUM(C26:C29)</f>
        <v>2497332</v>
      </c>
      <c r="D30" s="13">
        <f>C30-B30</f>
        <v>-69553</v>
      </c>
      <c r="E30" s="14">
        <f>IFERROR(D30/B30,"")</f>
        <v>-0.0270962665</v>
      </c>
    </row>
    <row r="31">
      <c r="B31" s="2" t="n"/>
      <c r="C31" s="2" t="n"/>
      <c r="D31" s="2" t="n"/>
      <c r="E31" s="3" t="n"/>
    </row>
    <row r="32">
      <c r="A32" s="15" t="inlineStr">
        <is>
          <t>說明 / 假設：</t>
        </is>
      </c>
      <c r="B32" s="2" t="n"/>
      <c r="C32" s="2" t="n"/>
      <c r="D32" s="2" t="n"/>
      <c r="E32" s="3" t="n"/>
    </row>
    <row r="33">
      <c r="A33" s="16" t="inlineStr">
        <is>
          <t>1. 「標打」取自各廠工作表欄位「Total (by MK/dz)」(表頭第2列標示為「標打」)，非「實件 Total (by actual pcs)」。</t>
        </is>
      </c>
      <c r="B33" s="2" t="n"/>
      <c r="C33" s="2" t="n"/>
      <c r="D33" s="2" t="n"/>
      <c r="E33" s="3" t="n"/>
    </row>
    <row r="34">
      <c r="A34" s="16" t="inlineStr">
        <is>
          <t>2. 資料來源分頁：CAB、CHN、NVN、SMG。已剔除各分頁最後一列的合計列，避免重複計算。</t>
        </is>
      </c>
      <c r="B34" s="2" t="n"/>
      <c r="C34" s="2" t="n"/>
      <c r="D34" s="2" t="n"/>
      <c r="E34" s="3" t="n"/>
    </row>
    <row r="35">
      <c r="A35" s="16" t="inlineStr">
        <is>
          <t>3. 07/30 檔新增分頁「SMG_SOLO」，其合計 574,715 ≈ 07/30 SMG 分頁中 GLS1+GLS5 的小計 574,716，屬同一批量的重新拆分(依 exp_date 細分)，</t>
        </is>
      </c>
      <c r="B35" s="2" t="n"/>
      <c r="C35" s="2" t="n"/>
      <c r="D35" s="2" t="n"/>
      <c r="E35" s="3" t="n"/>
    </row>
    <row r="36">
      <c r="A36" s="16" t="inlineStr">
        <is>
          <t xml:space="preserve">   若併入會重複計算，故本比較已排除；明細另見「SMG_SOLO 說明」分頁。</t>
        </is>
      </c>
      <c r="B36" s="2" t="n"/>
      <c r="C36" s="2" t="n"/>
      <c r="D36" s="2" t="n"/>
      <c r="E36" s="3" t="n"/>
    </row>
    <row r="37">
      <c r="A37" s="16" t="inlineStr">
        <is>
          <t>4. 款號採「style (取前10碼)」；同一款號跨 Phase / 出貨月 / 工廠的多筆資料已加總。</t>
        </is>
      </c>
      <c r="B37" s="2" t="n"/>
      <c r="C37" s="2" t="n"/>
      <c r="D37" s="2" t="n"/>
      <c r="E37" s="3" t="n"/>
    </row>
    <row r="38">
      <c r="A38" s="16" t="inlineStr">
        <is>
          <t>5. 「Summary chart」與「PH3_not confirmed」為樞紐彙總分頁，非明細來源，未納入計算。</t>
        </is>
      </c>
      <c r="B38" s="2" t="n"/>
      <c r="C38" s="2" t="n"/>
      <c r="D38" s="2" t="n"/>
      <c r="E38" s="3" t="n"/>
    </row>
    <row r="39">
      <c r="A39" s="16" t="inlineStr">
        <is>
          <t>6. 部門 = 各廠明細表的「div.」欄 (GU-11 ~ GU-37)。</t>
        </is>
      </c>
      <c r="B39" s="2" t="n"/>
      <c r="C39" s="2" t="n"/>
      <c r="D39" s="2" t="n"/>
      <c r="E39" s="3" t="n"/>
    </row>
  </sheetData>
  <conditionalFormatting sqref="D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D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D4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D5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D6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D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D8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D9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D10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D11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D1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D1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D14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D15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D16">
    <cfRule type="cellIs" priority="31" operator="lessThan" dxfId="0">
      <formula>0</formula>
    </cfRule>
    <cfRule type="cellIs" priority="32" operator="greaterThan" dxfId="1">
      <formula>0</formula>
    </cfRule>
  </conditionalFormatting>
  <conditionalFormatting sqref="D17">
    <cfRule type="cellIs" priority="33" operator="lessThan" dxfId="0">
      <formula>0</formula>
    </cfRule>
    <cfRule type="cellIs" priority="34" operator="greaterThan" dxfId="1">
      <formula>0</formula>
    </cfRule>
  </conditionalFormatting>
  <conditionalFormatting sqref="D18">
    <cfRule type="cellIs" priority="35" operator="lessThan" dxfId="0">
      <formula>0</formula>
    </cfRule>
    <cfRule type="cellIs" priority="36" operator="greaterThan" dxfId="1">
      <formula>0</formula>
    </cfRule>
  </conditionalFormatting>
  <conditionalFormatting sqref="D19">
    <cfRule type="cellIs" priority="37" operator="lessThan" dxfId="0">
      <formula>0</formula>
    </cfRule>
    <cfRule type="cellIs" priority="38" operator="greaterThan" dxfId="1">
      <formula>0</formula>
    </cfRule>
  </conditionalFormatting>
  <conditionalFormatting sqref="D20">
    <cfRule type="cellIs" priority="39" operator="lessThan" dxfId="0">
      <formula>0</formula>
    </cfRule>
    <cfRule type="cellIs" priority="40" operator="greaterThan" dxfId="1">
      <formula>0</formula>
    </cfRule>
  </conditionalFormatting>
  <conditionalFormatting sqref="D21">
    <cfRule type="cellIs" priority="41" operator="lessThan" dxfId="0">
      <formula>0</formula>
    </cfRule>
    <cfRule type="cellIs" priority="42" operator="greaterThan" dxfId="1">
      <formula>0</formula>
    </cfRule>
  </conditionalFormatting>
  <conditionalFormatting sqref="D22">
    <cfRule type="cellIs" priority="43" operator="lessThan" dxfId="0">
      <formula>0</formula>
    </cfRule>
    <cfRule type="cellIs" priority="44" operator="greaterThan" dxfId="1">
      <formula>0</formula>
    </cfRule>
  </conditionalFormatting>
  <conditionalFormatting sqref="D23">
    <cfRule type="cellIs" priority="45" operator="lessThan" dxfId="0">
      <formula>0</formula>
    </cfRule>
    <cfRule type="cellIs" priority="46" operator="greaterThan" dxfId="1">
      <formula>0</formula>
    </cfRule>
  </conditionalFormatting>
  <conditionalFormatting sqref="D24">
    <cfRule type="cellIs" priority="47" operator="lessThan" dxfId="0">
      <formula>0</formula>
    </cfRule>
    <cfRule type="cellIs" priority="48" operator="greaterThan" dxfId="1">
      <formula>0</formula>
    </cfRule>
  </conditionalFormatting>
  <conditionalFormatting sqref="D25">
    <cfRule type="cellIs" priority="49" operator="lessThan" dxfId="0">
      <formula>0</formula>
    </cfRule>
    <cfRule type="cellIs" priority="50" operator="greaterThan" dxfId="1">
      <formula>0</formula>
    </cfRule>
  </conditionalFormatting>
  <conditionalFormatting sqref="D26">
    <cfRule type="cellIs" priority="51" operator="lessThan" dxfId="0">
      <formula>0</formula>
    </cfRule>
    <cfRule type="cellIs" priority="52" operator="greaterThan" dxfId="1">
      <formula>0</formula>
    </cfRule>
  </conditionalFormatting>
  <conditionalFormatting sqref="D27">
    <cfRule type="cellIs" priority="53" operator="lessThan" dxfId="0">
      <formula>0</formula>
    </cfRule>
    <cfRule type="cellIs" priority="54" operator="greaterThan" dxfId="1">
      <formula>0</formula>
    </cfRule>
  </conditionalFormatting>
  <conditionalFormatting sqref="D28">
    <cfRule type="cellIs" priority="55" operator="lessThan" dxfId="0">
      <formula>0</formula>
    </cfRule>
    <cfRule type="cellIs" priority="56" operator="greaterThan" dxfId="1">
      <formula>0</formula>
    </cfRule>
  </conditionalFormatting>
  <conditionalFormatting sqref="D29">
    <cfRule type="cellIs" priority="57" operator="lessThan" dxfId="0">
      <formula>0</formula>
    </cfRule>
    <cfRule type="cellIs" priority="58" operator="greaterThan" dxfId="1">
      <formula>0</formula>
    </cfRule>
  </conditionalFormatting>
  <conditionalFormatting sqref="D30">
    <cfRule type="cellIs" priority="59" operator="lessThan" dxfId="0">
      <formula>0</formula>
    </cfRule>
    <cfRule type="cellIs" priority="60" operator="greaterThan" dxfId="1">
      <formula>0</formula>
    </cfRule>
  </conditionalFormatting>
  <conditionalFormatting sqref="D31">
    <cfRule type="cellIs" priority="61" operator="lessThan" dxfId="0">
      <formula>0</formula>
    </cfRule>
    <cfRule type="cellIs" priority="62" operator="greaterThan" dxfId="1">
      <formula>0</formula>
    </cfRule>
  </conditionalFormatting>
  <conditionalFormatting sqref="D32">
    <cfRule type="cellIs" priority="63" operator="lessThan" dxfId="0">
      <formula>0</formula>
    </cfRule>
    <cfRule type="cellIs" priority="64" operator="greaterThan" dxfId="1">
      <formula>0</formula>
    </cfRule>
  </conditionalFormatting>
  <conditionalFormatting sqref="D33">
    <cfRule type="cellIs" priority="65" operator="lessThan" dxfId="0">
      <formula>0</formula>
    </cfRule>
    <cfRule type="cellIs" priority="66" operator="greaterThan" dxfId="1">
      <formula>0</formula>
    </cfRule>
  </conditionalFormatting>
  <conditionalFormatting sqref="D34">
    <cfRule type="cellIs" priority="67" operator="lessThan" dxfId="0">
      <formula>0</formula>
    </cfRule>
    <cfRule type="cellIs" priority="68" operator="greaterThan" dxfId="1">
      <formula>0</formula>
    </cfRule>
  </conditionalFormatting>
  <conditionalFormatting sqref="D35">
    <cfRule type="cellIs" priority="69" operator="lessThan" dxfId="0">
      <formula>0</formula>
    </cfRule>
    <cfRule type="cellIs" priority="70" operator="greaterThan" dxfId="1">
      <formula>0</formula>
    </cfRule>
  </conditionalFormatting>
  <conditionalFormatting sqref="D36">
    <cfRule type="cellIs" priority="71" operator="lessThan" dxfId="0">
      <formula>0</formula>
    </cfRule>
    <cfRule type="cellIs" priority="72" operator="greaterThan" dxfId="1">
      <formula>0</formula>
    </cfRule>
  </conditionalFormatting>
  <conditionalFormatting sqref="D37">
    <cfRule type="cellIs" priority="73" operator="lessThan" dxfId="0">
      <formula>0</formula>
    </cfRule>
    <cfRule type="cellIs" priority="74" operator="greaterThan" dxfId="1">
      <formula>0</formula>
    </cfRule>
  </conditionalFormatting>
  <conditionalFormatting sqref="D38">
    <cfRule type="cellIs" priority="75" operator="lessThan" dxfId="0">
      <formula>0</formula>
    </cfRule>
    <cfRule type="cellIs" priority="76" operator="greaterThan" dxfId="1">
      <formula>0</formula>
    </cfRule>
  </conditionalFormatting>
  <conditionalFormatting sqref="D39">
    <cfRule type="cellIs" priority="77" operator="lessThan" dxfId="0">
      <formula>0</formula>
    </cfRule>
    <cfRule type="cellIs" priority="78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30" customHeight="1">
      <c r="A1" s="6" t="inlineStr">
        <is>
          <t>部門 div.</t>
        </is>
      </c>
      <c r="B1" s="6" t="inlineStr">
        <is>
          <t>款號 style</t>
        </is>
      </c>
      <c r="C1" s="6" t="inlineStr">
        <is>
          <t>K/W</t>
        </is>
      </c>
      <c r="D1" s="6" t="inlineStr">
        <is>
          <t>07/23 標打</t>
        </is>
      </c>
      <c r="E1" s="6" t="inlineStr">
        <is>
          <t>07/30 標打</t>
        </is>
      </c>
      <c r="F1" s="6" t="inlineStr">
        <is>
          <t>差異</t>
        </is>
      </c>
      <c r="G1" s="6" t="inlineStr">
        <is>
          <t>差異%</t>
        </is>
      </c>
      <c r="H1" s="6" t="inlineStr">
        <is>
          <t>變動</t>
        </is>
      </c>
    </row>
    <row r="2">
      <c r="A2" s="9" t="inlineStr">
        <is>
          <t>GU-11</t>
        </is>
      </c>
      <c r="B2" s="9" t="inlineStr">
        <is>
          <t>60117H006A</t>
        </is>
      </c>
      <c r="C2" s="9" t="inlineStr">
        <is>
          <t>Woven</t>
        </is>
      </c>
      <c r="D2" s="17" t="n">
        <v>7650</v>
      </c>
      <c r="E2" s="17" t="n">
        <v>7786</v>
      </c>
      <c r="F2" s="17">
        <f>E2-D2</f>
        <v>136</v>
      </c>
      <c r="G2" s="18">
        <f>IFERROR(F2/D2,"")</f>
        <v>0.0177777778</v>
      </c>
      <c r="H2" s="9" t="str">
        <f>IF(D2=0,"新增",IF(E2=0,"消失",IF(F2&gt;0,"增加",IF(F2&lt;0,"減少","無變化"))))</f>
        <v>增加</v>
      </c>
    </row>
    <row r="3">
      <c r="A3" s="9" t="inlineStr">
        <is>
          <t>GU-12</t>
        </is>
      </c>
      <c r="B3" s="9" t="inlineStr">
        <is>
          <t>60127N012A</t>
        </is>
      </c>
      <c r="C3" s="9" t="inlineStr">
        <is>
          <t>Woven</t>
        </is>
      </c>
      <c r="D3" s="17" t="n">
        <v>29636</v>
      </c>
      <c r="E3" s="17" t="n">
        <v>23957</v>
      </c>
      <c r="F3" s="17">
        <f>E3-D3</f>
        <v>-5679</v>
      </c>
      <c r="G3" s="18">
        <f>IFERROR(F3/D3,"")</f>
        <v>-0.1916250506</v>
      </c>
      <c r="H3" s="9" t="str">
        <f>IF(D3=0,"新增",IF(E3=0,"消失",IF(F3&gt;0,"增加",IF(F3&lt;0,"減少","無變化"))))</f>
        <v>減少</v>
      </c>
    </row>
    <row r="4">
      <c r="A4" s="9" t="inlineStr">
        <is>
          <t>GU-12</t>
        </is>
      </c>
      <c r="B4" s="9" t="inlineStr">
        <is>
          <t>60126F056A</t>
        </is>
      </c>
      <c r="C4" s="9" t="inlineStr">
        <is>
          <t>Knit</t>
        </is>
      </c>
      <c r="D4" s="17" t="n">
        <v>18931</v>
      </c>
      <c r="E4" s="17" t="n">
        <v>18929</v>
      </c>
      <c r="F4" s="17">
        <f>E4-D4</f>
        <v>-2</v>
      </c>
      <c r="G4" s="18">
        <f>IFERROR(F4/D4,"")</f>
        <v>-0.0001056468</v>
      </c>
      <c r="H4" s="9" t="str">
        <f>IF(D4=0,"新增",IF(E4=0,"消失",IF(F4&gt;0,"增加",IF(F4&lt;0,"減少","無變化"))))</f>
        <v>減少</v>
      </c>
    </row>
    <row r="5">
      <c r="A5" s="9" t="inlineStr">
        <is>
          <t>GU-12</t>
        </is>
      </c>
      <c r="B5" s="9" t="inlineStr">
        <is>
          <t>60126N024B</t>
        </is>
      </c>
      <c r="C5" s="9" t="inlineStr">
        <is>
          <t>Knit</t>
        </is>
      </c>
      <c r="D5" s="17" t="n">
        <v>2838</v>
      </c>
      <c r="E5" s="17" t="n">
        <v>2837</v>
      </c>
      <c r="F5" s="17">
        <f>E5-D5</f>
        <v>-1</v>
      </c>
      <c r="G5" s="18">
        <f>IFERROR(F5/D5,"")</f>
        <v>-0.0003523608</v>
      </c>
      <c r="H5" s="9" t="str">
        <f>IF(D5=0,"新增",IF(E5=0,"消失",IF(F5&gt;0,"增加",IF(F5&lt;0,"減少","無變化"))))</f>
        <v>減少</v>
      </c>
    </row>
    <row r="6">
      <c r="A6" s="9" t="inlineStr">
        <is>
          <t>GU-12</t>
        </is>
      </c>
      <c r="B6" s="9" t="inlineStr">
        <is>
          <t>60126F054A</t>
        </is>
      </c>
      <c r="C6" s="9" t="inlineStr">
        <is>
          <t>Woven</t>
        </is>
      </c>
      <c r="D6" s="17" t="n">
        <v>3207</v>
      </c>
      <c r="E6" s="17" t="n">
        <v>3207</v>
      </c>
      <c r="F6" s="17">
        <f>E6-D6</f>
        <v>0</v>
      </c>
      <c r="G6" s="18">
        <f>IFERROR(F6/D6,"")</f>
        <v>0.0</v>
      </c>
      <c r="H6" s="9" t="str">
        <f>IF(D6=0,"新增",IF(E6=0,"消失",IF(F6&gt;0,"增加",IF(F6&lt;0,"減少","無變化"))))</f>
        <v>無變化</v>
      </c>
    </row>
    <row r="7">
      <c r="A7" s="9" t="inlineStr">
        <is>
          <t>GU-12</t>
        </is>
      </c>
      <c r="B7" s="9" t="inlineStr">
        <is>
          <t>60126F054B</t>
        </is>
      </c>
      <c r="C7" s="9" t="inlineStr">
        <is>
          <t>Woven</t>
        </is>
      </c>
      <c r="D7" s="17" t="n">
        <v>5145</v>
      </c>
      <c r="E7" s="17" t="n">
        <v>5145</v>
      </c>
      <c r="F7" s="17">
        <f>E7-D7</f>
        <v>0</v>
      </c>
      <c r="G7" s="18">
        <f>IFERROR(F7/D7,"")</f>
        <v>0.0</v>
      </c>
      <c r="H7" s="9" t="str">
        <f>IF(D7=0,"新增",IF(E7=0,"消失",IF(F7&gt;0,"增加",IF(F7&lt;0,"減少","無變化"))))</f>
        <v>無變化</v>
      </c>
    </row>
    <row r="8">
      <c r="A8" s="9" t="inlineStr">
        <is>
          <t>GU-12</t>
        </is>
      </c>
      <c r="B8" s="9" t="inlineStr">
        <is>
          <t>60126F054C</t>
        </is>
      </c>
      <c r="C8" s="9" t="inlineStr">
        <is>
          <t>Woven</t>
        </is>
      </c>
      <c r="D8" s="17" t="n">
        <v>2724</v>
      </c>
      <c r="E8" s="17" t="n">
        <v>2724</v>
      </c>
      <c r="F8" s="17">
        <f>E8-D8</f>
        <v>0</v>
      </c>
      <c r="G8" s="18">
        <f>IFERROR(F8/D8,"")</f>
        <v>0.0</v>
      </c>
      <c r="H8" s="9" t="str">
        <f>IF(D8=0,"新增",IF(E8=0,"消失",IF(F8&gt;0,"增加",IF(F8&lt;0,"減少","無變化"))))</f>
        <v>無變化</v>
      </c>
    </row>
    <row r="9">
      <c r="A9" s="9" t="inlineStr">
        <is>
          <t>GU-12</t>
        </is>
      </c>
      <c r="B9" s="9" t="inlineStr">
        <is>
          <t>60126F064A</t>
        </is>
      </c>
      <c r="C9" s="9" t="inlineStr">
        <is>
          <t>Woven</t>
        </is>
      </c>
      <c r="D9" s="17" t="n">
        <v>9007</v>
      </c>
      <c r="E9" s="17" t="n">
        <v>9007</v>
      </c>
      <c r="F9" s="17">
        <f>E9-D9</f>
        <v>0</v>
      </c>
      <c r="G9" s="18">
        <f>IFERROR(F9/D9,"")</f>
        <v>0.0</v>
      </c>
      <c r="H9" s="9" t="str">
        <f>IF(D9=0,"新增",IF(E9=0,"消失",IF(F9&gt;0,"增加",IF(F9&lt;0,"減少","無變化"))))</f>
        <v>無變化</v>
      </c>
    </row>
    <row r="10">
      <c r="A10" s="9" t="inlineStr">
        <is>
          <t>GU-12</t>
        </is>
      </c>
      <c r="B10" s="9" t="inlineStr">
        <is>
          <t>60126F117A</t>
        </is>
      </c>
      <c r="C10" s="9" t="inlineStr">
        <is>
          <t>Woven</t>
        </is>
      </c>
      <c r="D10" s="17" t="n">
        <v>2799</v>
      </c>
      <c r="E10" s="17" t="n">
        <v>2799</v>
      </c>
      <c r="F10" s="17">
        <f>E10-D10</f>
        <v>0</v>
      </c>
      <c r="G10" s="18">
        <f>IFERROR(F10/D10,"")</f>
        <v>0.0</v>
      </c>
      <c r="H10" s="9" t="str">
        <f>IF(D10=0,"新增",IF(E10=0,"消失",IF(F10&gt;0,"增加",IF(F10&lt;0,"減少","無變化"))))</f>
        <v>無變化</v>
      </c>
    </row>
    <row r="11">
      <c r="A11" s="9" t="inlineStr">
        <is>
          <t>GU-12</t>
        </is>
      </c>
      <c r="B11" s="9" t="inlineStr">
        <is>
          <t>60126N024A</t>
        </is>
      </c>
      <c r="C11" s="9" t="inlineStr">
        <is>
          <t>Knit</t>
        </is>
      </c>
      <c r="D11" s="17" t="n">
        <v>232</v>
      </c>
      <c r="E11" s="17" t="n">
        <v>232</v>
      </c>
      <c r="F11" s="17">
        <f>E11-D11</f>
        <v>0</v>
      </c>
      <c r="G11" s="18">
        <f>IFERROR(F11/D11,"")</f>
        <v>0.0</v>
      </c>
      <c r="H11" s="9" t="str">
        <f>IF(D11=0,"新增",IF(E11=0,"消失",IF(F11&gt;0,"增加",IF(F11&lt;0,"減少","無變化"))))</f>
        <v>無變化</v>
      </c>
    </row>
    <row r="12">
      <c r="A12" s="9" t="inlineStr">
        <is>
          <t>GU-12</t>
        </is>
      </c>
      <c r="B12" s="9" t="inlineStr">
        <is>
          <t>60126N062B</t>
        </is>
      </c>
      <c r="C12" s="9" t="inlineStr">
        <is>
          <t>Woven</t>
        </is>
      </c>
      <c r="D12" s="17" t="n">
        <v>2724</v>
      </c>
      <c r="E12" s="17" t="n">
        <v>2724</v>
      </c>
      <c r="F12" s="17">
        <f>E12-D12</f>
        <v>0</v>
      </c>
      <c r="G12" s="18">
        <f>IFERROR(F12/D12,"")</f>
        <v>0.0</v>
      </c>
      <c r="H12" s="9" t="str">
        <f>IF(D12=0,"新增",IF(E12=0,"消失",IF(F12&gt;0,"增加",IF(F12&lt;0,"減少","無變化"))))</f>
        <v>無變化</v>
      </c>
    </row>
    <row r="13">
      <c r="A13" s="9" t="inlineStr">
        <is>
          <t>GU-12</t>
        </is>
      </c>
      <c r="B13" s="9" t="inlineStr">
        <is>
          <t>60127H007B</t>
        </is>
      </c>
      <c r="C13" s="9" t="inlineStr">
        <is>
          <t>Woven</t>
        </is>
      </c>
      <c r="D13" s="17" t="n">
        <v>2776</v>
      </c>
      <c r="E13" s="17" t="n">
        <v>2776</v>
      </c>
      <c r="F13" s="17">
        <f>E13-D13</f>
        <v>0</v>
      </c>
      <c r="G13" s="18">
        <f>IFERROR(F13/D13,"")</f>
        <v>0.0</v>
      </c>
      <c r="H13" s="9" t="str">
        <f>IF(D13=0,"新增",IF(E13=0,"消失",IF(F13&gt;0,"增加",IF(F13&lt;0,"減少","無變化"))))</f>
        <v>無變化</v>
      </c>
    </row>
    <row r="14">
      <c r="A14" s="9" t="inlineStr">
        <is>
          <t>GU-12</t>
        </is>
      </c>
      <c r="B14" s="9" t="inlineStr">
        <is>
          <t>60127N054A</t>
        </is>
      </c>
      <c r="C14" s="9" t="inlineStr">
        <is>
          <t>Woven</t>
        </is>
      </c>
      <c r="D14" s="17" t="n">
        <v>7300</v>
      </c>
      <c r="E14" s="17" t="n">
        <v>7300</v>
      </c>
      <c r="F14" s="17">
        <f>E14-D14</f>
        <v>0</v>
      </c>
      <c r="G14" s="18">
        <f>IFERROR(F14/D14,"")</f>
        <v>0.0</v>
      </c>
      <c r="H14" s="9" t="str">
        <f>IF(D14=0,"新增",IF(E14=0,"消失",IF(F14&gt;0,"增加",IF(F14&lt;0,"減少","無變化"))))</f>
        <v>無變化</v>
      </c>
    </row>
    <row r="15">
      <c r="A15" s="9" t="inlineStr">
        <is>
          <t>GU-12</t>
        </is>
      </c>
      <c r="B15" s="9" t="inlineStr">
        <is>
          <t>60127N056A</t>
        </is>
      </c>
      <c r="C15" s="9" t="inlineStr">
        <is>
          <t>Knit</t>
        </is>
      </c>
      <c r="D15" s="17" t="n">
        <v>8406</v>
      </c>
      <c r="E15" s="17" t="n">
        <v>8406</v>
      </c>
      <c r="F15" s="17">
        <f>E15-D15</f>
        <v>0</v>
      </c>
      <c r="G15" s="18">
        <f>IFERROR(F15/D15,"")</f>
        <v>0.0</v>
      </c>
      <c r="H15" s="9" t="str">
        <f>IF(D15=0,"新增",IF(E15=0,"消失",IF(F15&gt;0,"增加",IF(F15&lt;0,"減少","無變化"))))</f>
        <v>無變化</v>
      </c>
    </row>
    <row r="16">
      <c r="A16" s="9" t="inlineStr">
        <is>
          <t>GU-12</t>
        </is>
      </c>
      <c r="B16" s="9" t="inlineStr">
        <is>
          <t>Buffer</t>
        </is>
      </c>
      <c r="C16" s="9" t="inlineStr">
        <is>
          <t>Woven</t>
        </is>
      </c>
      <c r="D16" s="17" t="n">
        <v>1875</v>
      </c>
      <c r="E16" s="17" t="n">
        <v>1875</v>
      </c>
      <c r="F16" s="17">
        <f>E16-D16</f>
        <v>0</v>
      </c>
      <c r="G16" s="18">
        <f>IFERROR(F16/D16,"")</f>
        <v>0.0</v>
      </c>
      <c r="H16" s="9" t="str">
        <f>IF(D16=0,"新增",IF(E16=0,"消失",IF(F16&gt;0,"增加",IF(F16&lt;0,"減少","無變化"))))</f>
        <v>無變化</v>
      </c>
    </row>
    <row r="17">
      <c r="A17" s="9" t="inlineStr">
        <is>
          <t>GU-12</t>
        </is>
      </c>
      <c r="B17" s="9" t="inlineStr">
        <is>
          <t>60126F055C</t>
        </is>
      </c>
      <c r="C17" s="9" t="inlineStr">
        <is>
          <t>Woven</t>
        </is>
      </c>
      <c r="D17" s="17" t="n">
        <v>5623</v>
      </c>
      <c r="E17" s="17" t="n">
        <v>5632</v>
      </c>
      <c r="F17" s="17">
        <f>E17-D17</f>
        <v>9</v>
      </c>
      <c r="G17" s="18">
        <f>IFERROR(F17/D17,"")</f>
        <v>0.0016005691</v>
      </c>
      <c r="H17" s="9" t="str">
        <f>IF(D17=0,"新增",IF(E17=0,"消失",IF(F17&gt;0,"增加",IF(F17&lt;0,"減少","無變化"))))</f>
        <v>增加</v>
      </c>
    </row>
    <row r="18">
      <c r="A18" s="9" t="inlineStr">
        <is>
          <t>GU-12</t>
        </is>
      </c>
      <c r="B18" s="9" t="inlineStr">
        <is>
          <t>60126F055B</t>
        </is>
      </c>
      <c r="C18" s="9" t="inlineStr">
        <is>
          <t>Woven</t>
        </is>
      </c>
      <c r="D18" s="17" t="n">
        <v>5006</v>
      </c>
      <c r="E18" s="17" t="n">
        <v>5023</v>
      </c>
      <c r="F18" s="17">
        <f>E18-D18</f>
        <v>17</v>
      </c>
      <c r="G18" s="18">
        <f>IFERROR(F18/D18,"")</f>
        <v>0.0033959249</v>
      </c>
      <c r="H18" s="9" t="str">
        <f>IF(D18=0,"新增",IF(E18=0,"消失",IF(F18&gt;0,"增加",IF(F18&lt;0,"減少","無變化"))))</f>
        <v>增加</v>
      </c>
    </row>
    <row r="19">
      <c r="A19" s="9" t="inlineStr">
        <is>
          <t>GU-12</t>
        </is>
      </c>
      <c r="B19" s="9" t="inlineStr">
        <is>
          <t>60127N060A</t>
        </is>
      </c>
      <c r="C19" s="9" t="inlineStr">
        <is>
          <t>Woven</t>
        </is>
      </c>
      <c r="D19" s="17" t="n">
        <v>1494</v>
      </c>
      <c r="E19" s="17" t="n">
        <v>1552</v>
      </c>
      <c r="F19" s="17">
        <f>E19-D19</f>
        <v>58</v>
      </c>
      <c r="G19" s="18">
        <f>IFERROR(F19/D19,"")</f>
        <v>0.0388219545</v>
      </c>
      <c r="H19" s="9" t="str">
        <f>IF(D19=0,"新增",IF(E19=0,"消失",IF(F19&gt;0,"增加",IF(F19&lt;0,"減少","無變化"))))</f>
        <v>增加</v>
      </c>
    </row>
    <row r="20">
      <c r="A20" s="9" t="inlineStr">
        <is>
          <t>GU-12</t>
        </is>
      </c>
      <c r="B20" s="9" t="inlineStr">
        <is>
          <t>60127N051B</t>
        </is>
      </c>
      <c r="C20" s="9" t="inlineStr">
        <is>
          <t>Woven</t>
        </is>
      </c>
      <c r="D20" s="17" t="n">
        <v>35880</v>
      </c>
      <c r="E20" s="17" t="n">
        <v>37200</v>
      </c>
      <c r="F20" s="17">
        <f>E20-D20</f>
        <v>1320</v>
      </c>
      <c r="G20" s="18">
        <f>IFERROR(F20/D20,"")</f>
        <v>0.0367892977</v>
      </c>
      <c r="H20" s="9" t="str">
        <f>IF(D20=0,"新增",IF(E20=0,"消失",IF(F20&gt;0,"增加",IF(F20&lt;0,"減少","無變化"))))</f>
        <v>增加</v>
      </c>
    </row>
    <row r="21">
      <c r="A21" s="9" t="inlineStr">
        <is>
          <t>GU-12</t>
        </is>
      </c>
      <c r="B21" s="9" t="inlineStr">
        <is>
          <t>60127H052B</t>
        </is>
      </c>
      <c r="C21" s="9" t="inlineStr">
        <is>
          <t>Woven</t>
        </is>
      </c>
      <c r="D21" s="17" t="n">
        <v>7192</v>
      </c>
      <c r="E21" s="17" t="n">
        <v>10005</v>
      </c>
      <c r="F21" s="17">
        <f>E21-D21</f>
        <v>2813</v>
      </c>
      <c r="G21" s="18">
        <f>IFERROR(F21/D21,"")</f>
        <v>0.3911290323</v>
      </c>
      <c r="H21" s="9" t="str">
        <f>IF(D21=0,"新增",IF(E21=0,"消失",IF(F21&gt;0,"增加",IF(F21&lt;0,"減少","無變化"))))</f>
        <v>增加</v>
      </c>
    </row>
    <row r="22">
      <c r="A22" s="9" t="inlineStr">
        <is>
          <t>GU-13</t>
        </is>
      </c>
      <c r="B22" s="9" t="inlineStr">
        <is>
          <t>60136N005A</t>
        </is>
      </c>
      <c r="C22" s="9" t="inlineStr">
        <is>
          <t>Woven</t>
        </is>
      </c>
      <c r="D22" s="17" t="n">
        <v>428</v>
      </c>
      <c r="E22" s="17" t="n">
        <v>428</v>
      </c>
      <c r="F22" s="17">
        <f>E22-D22</f>
        <v>0</v>
      </c>
      <c r="G22" s="18">
        <f>IFERROR(F22/D22,"")</f>
        <v>0.0</v>
      </c>
      <c r="H22" s="9" t="str">
        <f>IF(D22=0,"新增",IF(E22=0,"消失",IF(F22&gt;0,"增加",IF(F22&lt;0,"減少","無變化"))))</f>
        <v>無變化</v>
      </c>
    </row>
    <row r="23">
      <c r="A23" s="9" t="inlineStr">
        <is>
          <t>GU-13</t>
        </is>
      </c>
      <c r="B23" s="9" t="inlineStr">
        <is>
          <t>60137N019A</t>
        </is>
      </c>
      <c r="C23" s="9" t="inlineStr">
        <is>
          <t>Woven</t>
        </is>
      </c>
      <c r="D23" s="17" t="n">
        <v>1133</v>
      </c>
      <c r="E23" s="17" t="n">
        <v>1215</v>
      </c>
      <c r="F23" s="17">
        <f>E23-D23</f>
        <v>82</v>
      </c>
      <c r="G23" s="18">
        <f>IFERROR(F23/D23,"")</f>
        <v>0.0723742277</v>
      </c>
      <c r="H23" s="9" t="str">
        <f>IF(D23=0,"新增",IF(E23=0,"消失",IF(F23&gt;0,"增加",IF(F23&lt;0,"減少","無變化"))))</f>
        <v>增加</v>
      </c>
    </row>
    <row r="24">
      <c r="A24" s="9" t="inlineStr">
        <is>
          <t>GU-13</t>
        </is>
      </c>
      <c r="B24" s="9" t="inlineStr">
        <is>
          <t>60137N013A</t>
        </is>
      </c>
      <c r="C24" s="9" t="inlineStr">
        <is>
          <t>Woven</t>
        </is>
      </c>
      <c r="D24" s="17" t="n">
        <v>2876</v>
      </c>
      <c r="E24" s="17" t="n">
        <v>3177</v>
      </c>
      <c r="F24" s="17">
        <f>E24-D24</f>
        <v>301</v>
      </c>
      <c r="G24" s="18">
        <f>IFERROR(F24/D24,"")</f>
        <v>0.104659249</v>
      </c>
      <c r="H24" s="9" t="str">
        <f>IF(D24=0,"新增",IF(E24=0,"消失",IF(F24&gt;0,"增加",IF(F24&lt;0,"減少","無變化"))))</f>
        <v>增加</v>
      </c>
    </row>
    <row r="25">
      <c r="A25" s="9" t="inlineStr">
        <is>
          <t>GU-13</t>
        </is>
      </c>
      <c r="B25" s="9" t="inlineStr">
        <is>
          <t>60137N003A</t>
        </is>
      </c>
      <c r="C25" s="9" t="inlineStr">
        <is>
          <t>Woven</t>
        </is>
      </c>
      <c r="D25" s="17" t="n">
        <v>0</v>
      </c>
      <c r="E25" s="17" t="n">
        <v>5333</v>
      </c>
      <c r="F25" s="17">
        <f>E25-D25</f>
        <v>5333</v>
      </c>
      <c r="G25" s="18">
        <f>IFERROR(F25/D25,"")</f>
        <v/>
      </c>
      <c r="H25" s="9" t="str">
        <f>IF(D25=0,"新增",IF(E25=0,"消失",IF(F25&gt;0,"增加",IF(F25&lt;0,"減少","無變化"))))</f>
        <v>新增</v>
      </c>
    </row>
    <row r="26">
      <c r="A26" s="9" t="inlineStr">
        <is>
          <t>GU-14</t>
        </is>
      </c>
      <c r="B26" s="9" t="inlineStr">
        <is>
          <t>60147N130B</t>
        </is>
      </c>
      <c r="C26" s="9" t="inlineStr">
        <is>
          <t>Woven</t>
        </is>
      </c>
      <c r="D26" s="17" t="n">
        <v>3675</v>
      </c>
      <c r="E26" s="17" t="n">
        <v>3554</v>
      </c>
      <c r="F26" s="17">
        <f>E26-D26</f>
        <v>-121</v>
      </c>
      <c r="G26" s="18">
        <f>IFERROR(F26/D26,"")</f>
        <v>-0.0329251701</v>
      </c>
      <c r="H26" s="9" t="str">
        <f>IF(D26=0,"新增",IF(E26=0,"消失",IF(F26&gt;0,"增加",IF(F26&lt;0,"減少","無變化"))))</f>
        <v>減少</v>
      </c>
    </row>
    <row r="27">
      <c r="A27" s="9" t="inlineStr">
        <is>
          <t>GU-14</t>
        </is>
      </c>
      <c r="B27" s="9" t="inlineStr">
        <is>
          <t>60147N124A</t>
        </is>
      </c>
      <c r="C27" s="9" t="inlineStr">
        <is>
          <t>Woven</t>
        </is>
      </c>
      <c r="D27" s="17" t="n">
        <v>8418</v>
      </c>
      <c r="E27" s="17" t="n">
        <v>8420</v>
      </c>
      <c r="F27" s="17">
        <f>E27-D27</f>
        <v>2</v>
      </c>
      <c r="G27" s="18">
        <f>IFERROR(F27/D27,"")</f>
        <v>0.0002375861</v>
      </c>
      <c r="H27" s="9" t="str">
        <f>IF(D27=0,"新增",IF(E27=0,"消失",IF(F27&gt;0,"增加",IF(F27&lt;0,"減少","無變化"))))</f>
        <v>增加</v>
      </c>
    </row>
    <row r="28">
      <c r="A28" s="9" t="inlineStr">
        <is>
          <t>GU-14</t>
        </is>
      </c>
      <c r="B28" s="9" t="inlineStr">
        <is>
          <t>60147N128A</t>
        </is>
      </c>
      <c r="C28" s="9" t="inlineStr">
        <is>
          <t>Woven</t>
        </is>
      </c>
      <c r="D28" s="17" t="n">
        <v>6991</v>
      </c>
      <c r="E28" s="17" t="n">
        <v>7289</v>
      </c>
      <c r="F28" s="17">
        <f>E28-D28</f>
        <v>298</v>
      </c>
      <c r="G28" s="18">
        <f>IFERROR(F28/D28,"")</f>
        <v>0.0426262337</v>
      </c>
      <c r="H28" s="9" t="str">
        <f>IF(D28=0,"新增",IF(E28=0,"消失",IF(F28&gt;0,"增加",IF(F28&lt;0,"減少","無變化"))))</f>
        <v>增加</v>
      </c>
    </row>
    <row r="29">
      <c r="A29" s="9" t="inlineStr">
        <is>
          <t>GU-17</t>
        </is>
      </c>
      <c r="B29" s="9" t="inlineStr">
        <is>
          <t>60176F040A</t>
        </is>
      </c>
      <c r="C29" s="9" t="inlineStr">
        <is>
          <t>Knit</t>
        </is>
      </c>
      <c r="D29" s="17" t="n">
        <v>8046</v>
      </c>
      <c r="E29" s="17" t="n">
        <v>6360</v>
      </c>
      <c r="F29" s="17">
        <f>E29-D29</f>
        <v>-1686</v>
      </c>
      <c r="G29" s="18">
        <f>IFERROR(F29/D29,"")</f>
        <v>-0.2095451156</v>
      </c>
      <c r="H29" s="9" t="str">
        <f>IF(D29=0,"新增",IF(E29=0,"消失",IF(F29&gt;0,"增加",IF(F29&lt;0,"減少","無變化"))))</f>
        <v>減少</v>
      </c>
    </row>
    <row r="30">
      <c r="A30" s="9" t="inlineStr">
        <is>
          <t>GU-17</t>
        </is>
      </c>
      <c r="B30" s="9" t="inlineStr">
        <is>
          <t>60176F037A</t>
        </is>
      </c>
      <c r="C30" s="9" t="inlineStr">
        <is>
          <t>Knit</t>
        </is>
      </c>
      <c r="D30" s="17" t="n">
        <v>3331</v>
      </c>
      <c r="E30" s="17" t="n">
        <v>3330</v>
      </c>
      <c r="F30" s="17">
        <f>E30-D30</f>
        <v>-1</v>
      </c>
      <c r="G30" s="18">
        <f>IFERROR(F30/D30,"")</f>
        <v>-0.0003002101</v>
      </c>
      <c r="H30" s="9" t="str">
        <f>IF(D30=0,"新增",IF(E30=0,"消失",IF(F30&gt;0,"增加",IF(F30&lt;0,"減少","無變化"))))</f>
        <v>減少</v>
      </c>
    </row>
    <row r="31">
      <c r="A31" s="9" t="inlineStr">
        <is>
          <t>GU-17</t>
        </is>
      </c>
      <c r="B31" s="9" t="inlineStr">
        <is>
          <t>60176F036A</t>
        </is>
      </c>
      <c r="C31" s="9" t="inlineStr">
        <is>
          <t>Knit</t>
        </is>
      </c>
      <c r="D31" s="17" t="n">
        <v>3938</v>
      </c>
      <c r="E31" s="17" t="n">
        <v>3938</v>
      </c>
      <c r="F31" s="17">
        <f>E31-D31</f>
        <v>0</v>
      </c>
      <c r="G31" s="18">
        <f>IFERROR(F31/D31,"")</f>
        <v>0.0</v>
      </c>
      <c r="H31" s="9" t="str">
        <f>IF(D31=0,"新增",IF(E31=0,"消失",IF(F31&gt;0,"增加",IF(F31&lt;0,"減少","無變化"))))</f>
        <v>無變化</v>
      </c>
    </row>
    <row r="32">
      <c r="A32" s="9" t="inlineStr">
        <is>
          <t>GU-17</t>
        </is>
      </c>
      <c r="B32" s="9" t="inlineStr">
        <is>
          <t>60176F041A</t>
        </is>
      </c>
      <c r="C32" s="9" t="inlineStr">
        <is>
          <t>Knit</t>
        </is>
      </c>
      <c r="D32" s="17" t="n">
        <v>2222</v>
      </c>
      <c r="E32" s="17" t="n">
        <v>2222</v>
      </c>
      <c r="F32" s="17">
        <f>E32-D32</f>
        <v>0</v>
      </c>
      <c r="G32" s="18">
        <f>IFERROR(F32/D32,"")</f>
        <v>0.0</v>
      </c>
      <c r="H32" s="9" t="str">
        <f>IF(D32=0,"新增",IF(E32=0,"消失",IF(F32&gt;0,"增加",IF(F32&lt;0,"減少","無變化"))))</f>
        <v>無變化</v>
      </c>
    </row>
    <row r="33">
      <c r="A33" s="9" t="inlineStr">
        <is>
          <t>GU-17</t>
        </is>
      </c>
      <c r="B33" s="9" t="inlineStr">
        <is>
          <t>60176F042A</t>
        </is>
      </c>
      <c r="C33" s="9" t="inlineStr">
        <is>
          <t>Knit</t>
        </is>
      </c>
      <c r="D33" s="17" t="n">
        <v>3267</v>
      </c>
      <c r="E33" s="17" t="n">
        <v>3267</v>
      </c>
      <c r="F33" s="17">
        <f>E33-D33</f>
        <v>0</v>
      </c>
      <c r="G33" s="18">
        <f>IFERROR(F33/D33,"")</f>
        <v>0.0</v>
      </c>
      <c r="H33" s="9" t="str">
        <f>IF(D33=0,"新增",IF(E33=0,"消失",IF(F33&gt;0,"增加",IF(F33&lt;0,"減少","無變化"))))</f>
        <v>無變化</v>
      </c>
    </row>
    <row r="34">
      <c r="A34" s="9" t="inlineStr">
        <is>
          <t>GU-17</t>
        </is>
      </c>
      <c r="B34" s="9" t="inlineStr">
        <is>
          <t>60176F043A</t>
        </is>
      </c>
      <c r="C34" s="9" t="inlineStr">
        <is>
          <t>Knit</t>
        </is>
      </c>
      <c r="D34" s="17" t="n">
        <v>1733</v>
      </c>
      <c r="E34" s="17" t="n">
        <v>1733</v>
      </c>
      <c r="F34" s="17">
        <f>E34-D34</f>
        <v>0</v>
      </c>
      <c r="G34" s="18">
        <f>IFERROR(F34/D34,"")</f>
        <v>0.0</v>
      </c>
      <c r="H34" s="9" t="str">
        <f>IF(D34=0,"新增",IF(E34=0,"消失",IF(F34&gt;0,"增加",IF(F34&lt;0,"減少","無變化"))))</f>
        <v>無變化</v>
      </c>
    </row>
    <row r="35">
      <c r="A35" s="9" t="inlineStr">
        <is>
          <t>GU-17</t>
        </is>
      </c>
      <c r="B35" s="9" t="inlineStr">
        <is>
          <t>60176F066A</t>
        </is>
      </c>
      <c r="C35" s="9" t="inlineStr">
        <is>
          <t>Knit</t>
        </is>
      </c>
      <c r="D35" s="17" t="n">
        <v>2337</v>
      </c>
      <c r="E35" s="17" t="n">
        <v>2337</v>
      </c>
      <c r="F35" s="17">
        <f>E35-D35</f>
        <v>0</v>
      </c>
      <c r="G35" s="18">
        <f>IFERROR(F35/D35,"")</f>
        <v>0.0</v>
      </c>
      <c r="H35" s="9" t="str">
        <f>IF(D35=0,"新增",IF(E35=0,"消失",IF(F35&gt;0,"增加",IF(F35&lt;0,"減少","無變化"))))</f>
        <v>無變化</v>
      </c>
    </row>
    <row r="36">
      <c r="A36" s="9" t="inlineStr">
        <is>
          <t>GU-17</t>
        </is>
      </c>
      <c r="B36" s="9" t="inlineStr">
        <is>
          <t>60176F066B</t>
        </is>
      </c>
      <c r="C36" s="9" t="inlineStr">
        <is>
          <t>Knit</t>
        </is>
      </c>
      <c r="D36" s="17" t="n">
        <v>3248</v>
      </c>
      <c r="E36" s="17" t="n">
        <v>3248</v>
      </c>
      <c r="F36" s="17">
        <f>E36-D36</f>
        <v>0</v>
      </c>
      <c r="G36" s="18">
        <f>IFERROR(F36/D36,"")</f>
        <v>0.0</v>
      </c>
      <c r="H36" s="9" t="str">
        <f>IF(D36=0,"新增",IF(E36=0,"消失",IF(F36&gt;0,"增加",IF(F36&lt;0,"減少","無變化"))))</f>
        <v>無變化</v>
      </c>
    </row>
    <row r="37">
      <c r="A37" s="9" t="inlineStr">
        <is>
          <t>GU-17</t>
        </is>
      </c>
      <c r="B37" s="9" t="inlineStr">
        <is>
          <t>60176F066C</t>
        </is>
      </c>
      <c r="C37" s="9" t="inlineStr">
        <is>
          <t>Knit</t>
        </is>
      </c>
      <c r="D37" s="17" t="n">
        <v>3712</v>
      </c>
      <c r="E37" s="17" t="n">
        <v>3712</v>
      </c>
      <c r="F37" s="17">
        <f>E37-D37</f>
        <v>0</v>
      </c>
      <c r="G37" s="18">
        <f>IFERROR(F37/D37,"")</f>
        <v>0.0</v>
      </c>
      <c r="H37" s="9" t="str">
        <f>IF(D37=0,"新增",IF(E37=0,"消失",IF(F37&gt;0,"增加",IF(F37&lt;0,"減少","無變化"))))</f>
        <v>無變化</v>
      </c>
    </row>
    <row r="38">
      <c r="A38" s="9" t="inlineStr">
        <is>
          <t>GU-17</t>
        </is>
      </c>
      <c r="B38" s="9" t="inlineStr">
        <is>
          <t>60176F038A</t>
        </is>
      </c>
      <c r="C38" s="9" t="inlineStr">
        <is>
          <t>Knit</t>
        </is>
      </c>
      <c r="D38" s="17" t="n">
        <v>5618</v>
      </c>
      <c r="E38" s="17" t="n">
        <v>6542</v>
      </c>
      <c r="F38" s="17">
        <f>E38-D38</f>
        <v>924</v>
      </c>
      <c r="G38" s="18">
        <f>IFERROR(F38/D38,"")</f>
        <v>0.1644713421</v>
      </c>
      <c r="H38" s="9" t="str">
        <f>IF(D38=0,"新增",IF(E38=0,"消失",IF(F38&gt;0,"增加",IF(F38&lt;0,"減少","無變化"))))</f>
        <v>增加</v>
      </c>
    </row>
    <row r="39">
      <c r="A39" s="9" t="inlineStr">
        <is>
          <t>GU-22</t>
        </is>
      </c>
      <c r="B39" s="9" t="inlineStr">
        <is>
          <t>60227H026A</t>
        </is>
      </c>
      <c r="C39" s="9" t="inlineStr">
        <is>
          <t>Woven</t>
        </is>
      </c>
      <c r="D39" s="17" t="n">
        <v>24459</v>
      </c>
      <c r="E39" s="17" t="n">
        <v>1824</v>
      </c>
      <c r="F39" s="17">
        <f>E39-D39</f>
        <v>-22635</v>
      </c>
      <c r="G39" s="18">
        <f>IFERROR(F39/D39,"")</f>
        <v>-0.9254262235</v>
      </c>
      <c r="H39" s="9" t="str">
        <f>IF(D39=0,"新增",IF(E39=0,"消失",IF(F39&gt;0,"增加",IF(F39&lt;0,"減少","無變化"))))</f>
        <v>減少</v>
      </c>
    </row>
    <row r="40">
      <c r="A40" s="9" t="inlineStr">
        <is>
          <t>GU-22</t>
        </is>
      </c>
      <c r="B40" s="9" t="inlineStr">
        <is>
          <t>60227H019D</t>
        </is>
      </c>
      <c r="C40" s="9" t="inlineStr">
        <is>
          <t>Woven</t>
        </is>
      </c>
      <c r="D40" s="17" t="n">
        <v>11773</v>
      </c>
      <c r="E40" s="17" t="n">
        <v>0</v>
      </c>
      <c r="F40" s="17">
        <f>E40-D40</f>
        <v>-11773</v>
      </c>
      <c r="G40" s="18">
        <f>IFERROR(F40/D40,"")</f>
        <v>-1.0</v>
      </c>
      <c r="H40" s="9" t="str">
        <f>IF(D40=0,"新增",IF(E40=0,"消失",IF(F40&gt;0,"增加",IF(F40&lt;0,"減少","無變化"))))</f>
        <v>消失</v>
      </c>
    </row>
    <row r="41">
      <c r="A41" s="9" t="inlineStr">
        <is>
          <t>GU-22</t>
        </is>
      </c>
      <c r="B41" s="9" t="inlineStr">
        <is>
          <t>60227H008A</t>
        </is>
      </c>
      <c r="C41" s="9" t="inlineStr">
        <is>
          <t>Woven</t>
        </is>
      </c>
      <c r="D41" s="17" t="n">
        <v>33262</v>
      </c>
      <c r="E41" s="17" t="n">
        <v>27918</v>
      </c>
      <c r="F41" s="17">
        <f>E41-D41</f>
        <v>-5344</v>
      </c>
      <c r="G41" s="18">
        <f>IFERROR(F41/D41,"")</f>
        <v>-0.1606638206</v>
      </c>
      <c r="H41" s="9" t="str">
        <f>IF(D41=0,"新增",IF(E41=0,"消失",IF(F41&gt;0,"增加",IF(F41&lt;0,"減少","無變化"))))</f>
        <v>減少</v>
      </c>
    </row>
    <row r="42">
      <c r="A42" s="9" t="inlineStr">
        <is>
          <t>GU-22</t>
        </is>
      </c>
      <c r="B42" s="9" t="inlineStr">
        <is>
          <t>60227N007I</t>
        </is>
      </c>
      <c r="C42" s="9" t="inlineStr">
        <is>
          <t>Woven</t>
        </is>
      </c>
      <c r="D42" s="17" t="n">
        <v>5251</v>
      </c>
      <c r="E42" s="17" t="n">
        <v>0</v>
      </c>
      <c r="F42" s="17">
        <f>E42-D42</f>
        <v>-5251</v>
      </c>
      <c r="G42" s="18">
        <f>IFERROR(F42/D42,"")</f>
        <v>-1.0</v>
      </c>
      <c r="H42" s="9" t="str">
        <f>IF(D42=0,"新增",IF(E42=0,"消失",IF(F42&gt;0,"增加",IF(F42&lt;0,"減少","無變化"))))</f>
        <v>消失</v>
      </c>
    </row>
    <row r="43">
      <c r="A43" s="9" t="inlineStr">
        <is>
          <t>GU-22</t>
        </is>
      </c>
      <c r="B43" s="9" t="inlineStr">
        <is>
          <t>60227H047A</t>
        </is>
      </c>
      <c r="C43" s="9" t="inlineStr">
        <is>
          <t>Woven</t>
        </is>
      </c>
      <c r="D43" s="17" t="n">
        <v>66133</v>
      </c>
      <c r="E43" s="17" t="n">
        <v>61318</v>
      </c>
      <c r="F43" s="17">
        <f>E43-D43</f>
        <v>-4815</v>
      </c>
      <c r="G43" s="18">
        <f>IFERROR(F43/D43,"")</f>
        <v>-0.0728078267</v>
      </c>
      <c r="H43" s="9" t="str">
        <f>IF(D43=0,"新增",IF(E43=0,"消失",IF(F43&gt;0,"增加",IF(F43&lt;0,"減少","無變化"))))</f>
        <v>減少</v>
      </c>
    </row>
    <row r="44">
      <c r="A44" s="9" t="inlineStr">
        <is>
          <t>GU-22</t>
        </is>
      </c>
      <c r="B44" s="9" t="inlineStr">
        <is>
          <t>60227H058A</t>
        </is>
      </c>
      <c r="C44" s="9" t="inlineStr">
        <is>
          <t>Woven</t>
        </is>
      </c>
      <c r="D44" s="17" t="n">
        <v>22939</v>
      </c>
      <c r="E44" s="17" t="n">
        <v>19104</v>
      </c>
      <c r="F44" s="17">
        <f>E44-D44</f>
        <v>-3835</v>
      </c>
      <c r="G44" s="18">
        <f>IFERROR(F44/D44,"")</f>
        <v>-0.1671825276</v>
      </c>
      <c r="H44" s="9" t="str">
        <f>IF(D44=0,"新增",IF(E44=0,"消失",IF(F44&gt;0,"增加",IF(F44&lt;0,"減少","無變化"))))</f>
        <v>減少</v>
      </c>
    </row>
    <row r="45">
      <c r="A45" s="9" t="inlineStr">
        <is>
          <t>GU-22</t>
        </is>
      </c>
      <c r="B45" s="9" t="inlineStr">
        <is>
          <t>60226F069E</t>
        </is>
      </c>
      <c r="C45" s="9" t="inlineStr">
        <is>
          <t>Woven</t>
        </is>
      </c>
      <c r="D45" s="17" t="n">
        <v>28438</v>
      </c>
      <c r="E45" s="17" t="n">
        <v>24706</v>
      </c>
      <c r="F45" s="17">
        <f>E45-D45</f>
        <v>-3732</v>
      </c>
      <c r="G45" s="18">
        <f>IFERROR(F45/D45,"")</f>
        <v>-0.1312328574</v>
      </c>
      <c r="H45" s="9" t="str">
        <f>IF(D45=0,"新增",IF(E45=0,"消失",IF(F45&gt;0,"增加",IF(F45&lt;0,"減少","無變化"))))</f>
        <v>減少</v>
      </c>
    </row>
    <row r="46">
      <c r="A46" s="9" t="inlineStr">
        <is>
          <t>GU-22</t>
        </is>
      </c>
      <c r="B46" s="9" t="inlineStr">
        <is>
          <t>60226F026E</t>
        </is>
      </c>
      <c r="C46" s="9" t="inlineStr">
        <is>
          <t>Woven</t>
        </is>
      </c>
      <c r="D46" s="17" t="n">
        <v>7396</v>
      </c>
      <c r="E46" s="17" t="n">
        <v>4050</v>
      </c>
      <c r="F46" s="17">
        <f>E46-D46</f>
        <v>-3346</v>
      </c>
      <c r="G46" s="18">
        <f>IFERROR(F46/D46,"")</f>
        <v>-0.4524067063</v>
      </c>
      <c r="H46" s="9" t="str">
        <f>IF(D46=0,"新增",IF(E46=0,"消失",IF(F46&gt;0,"增加",IF(F46&lt;0,"減少","無變化"))))</f>
        <v>減少</v>
      </c>
    </row>
    <row r="47">
      <c r="A47" s="9" t="inlineStr">
        <is>
          <t>GU-22</t>
        </is>
      </c>
      <c r="B47" s="9" t="inlineStr">
        <is>
          <t>60227N041A</t>
        </is>
      </c>
      <c r="C47" s="9" t="inlineStr">
        <is>
          <t>Woven</t>
        </is>
      </c>
      <c r="D47" s="17" t="n">
        <v>57265</v>
      </c>
      <c r="E47" s="17" t="n">
        <v>54647</v>
      </c>
      <c r="F47" s="17">
        <f>E47-D47</f>
        <v>-2618</v>
      </c>
      <c r="G47" s="18">
        <f>IFERROR(F47/D47,"")</f>
        <v>-0.0457172793</v>
      </c>
      <c r="H47" s="9" t="str">
        <f>IF(D47=0,"新增",IF(E47=0,"消失",IF(F47&gt;0,"增加",IF(F47&lt;0,"減少","無變化"))))</f>
        <v>減少</v>
      </c>
    </row>
    <row r="48">
      <c r="A48" s="9" t="inlineStr">
        <is>
          <t>GU-22</t>
        </is>
      </c>
      <c r="B48" s="9" t="inlineStr">
        <is>
          <t>60227H016A</t>
        </is>
      </c>
      <c r="C48" s="9" t="inlineStr">
        <is>
          <t>Woven</t>
        </is>
      </c>
      <c r="D48" s="17" t="n">
        <v>2157</v>
      </c>
      <c r="E48" s="17" t="n">
        <v>177</v>
      </c>
      <c r="F48" s="17">
        <f>E48-D48</f>
        <v>-1980</v>
      </c>
      <c r="G48" s="18">
        <f>IFERROR(F48/D48,"")</f>
        <v>-0.9179415855</v>
      </c>
      <c r="H48" s="9" t="str">
        <f>IF(D48=0,"新增",IF(E48=0,"消失",IF(F48&gt;0,"增加",IF(F48&lt;0,"減少","無變化"))))</f>
        <v>減少</v>
      </c>
    </row>
    <row r="49">
      <c r="A49" s="9" t="inlineStr">
        <is>
          <t>GU-22</t>
        </is>
      </c>
      <c r="B49" s="9" t="inlineStr">
        <is>
          <t>60226F051D</t>
        </is>
      </c>
      <c r="C49" s="9" t="inlineStr">
        <is>
          <t>Woven</t>
        </is>
      </c>
      <c r="D49" s="17" t="n">
        <v>23220</v>
      </c>
      <c r="E49" s="17" t="n">
        <v>21833</v>
      </c>
      <c r="F49" s="17">
        <f>E49-D49</f>
        <v>-1387</v>
      </c>
      <c r="G49" s="18">
        <f>IFERROR(F49/D49,"")</f>
        <v>-0.0597329888</v>
      </c>
      <c r="H49" s="9" t="str">
        <f>IF(D49=0,"新增",IF(E49=0,"消失",IF(F49&gt;0,"增加",IF(F49&lt;0,"減少","無變化"))))</f>
        <v>減少</v>
      </c>
    </row>
    <row r="50">
      <c r="A50" s="9" t="inlineStr">
        <is>
          <t>GU-22</t>
        </is>
      </c>
      <c r="B50" s="9" t="inlineStr">
        <is>
          <t>60227H019I</t>
        </is>
      </c>
      <c r="C50" s="9" t="inlineStr">
        <is>
          <t>Woven</t>
        </is>
      </c>
      <c r="D50" s="17" t="n">
        <v>800</v>
      </c>
      <c r="E50" s="17" t="n">
        <v>0</v>
      </c>
      <c r="F50" s="17">
        <f>E50-D50</f>
        <v>-800</v>
      </c>
      <c r="G50" s="18">
        <f>IFERROR(F50/D50,"")</f>
        <v>-1.0</v>
      </c>
      <c r="H50" s="9" t="str">
        <f>IF(D50=0,"新增",IF(E50=0,"消失",IF(F50&gt;0,"增加",IF(F50&lt;0,"減少","無變化"))))</f>
        <v>消失</v>
      </c>
    </row>
    <row r="51">
      <c r="A51" s="9" t="inlineStr">
        <is>
          <t>GU-22</t>
        </is>
      </c>
      <c r="B51" s="9" t="inlineStr">
        <is>
          <t>60227H074A</t>
        </is>
      </c>
      <c r="C51" s="9" t="inlineStr">
        <is>
          <t>Woven</t>
        </is>
      </c>
      <c r="D51" s="17" t="n">
        <v>1894</v>
      </c>
      <c r="E51" s="17" t="n">
        <v>1200</v>
      </c>
      <c r="F51" s="17">
        <f>E51-D51</f>
        <v>-694</v>
      </c>
      <c r="G51" s="18">
        <f>IFERROR(F51/D51,"")</f>
        <v>-0.3664202746</v>
      </c>
      <c r="H51" s="9" t="str">
        <f>IF(D51=0,"新增",IF(E51=0,"消失",IF(F51&gt;0,"增加",IF(F51&lt;0,"減少","無變化"))))</f>
        <v>減少</v>
      </c>
    </row>
    <row r="52">
      <c r="A52" s="9" t="inlineStr">
        <is>
          <t>GU-22</t>
        </is>
      </c>
      <c r="B52" s="9" t="inlineStr">
        <is>
          <t>60227H062B</t>
        </is>
      </c>
      <c r="C52" s="9" t="inlineStr">
        <is>
          <t>Woven</t>
        </is>
      </c>
      <c r="D52" s="17" t="n">
        <v>12538</v>
      </c>
      <c r="E52" s="17" t="n">
        <v>11879</v>
      </c>
      <c r="F52" s="17">
        <f>E52-D52</f>
        <v>-659</v>
      </c>
      <c r="G52" s="18">
        <f>IFERROR(F52/D52,"")</f>
        <v>-0.0525602169</v>
      </c>
      <c r="H52" s="9" t="str">
        <f>IF(D52=0,"新增",IF(E52=0,"消失",IF(F52&gt;0,"增加",IF(F52&lt;0,"減少","無變化"))))</f>
        <v>減少</v>
      </c>
    </row>
    <row r="53">
      <c r="A53" s="9" t="inlineStr">
        <is>
          <t>GU-22</t>
        </is>
      </c>
      <c r="B53" s="9" t="inlineStr">
        <is>
          <t>60227H019H</t>
        </is>
      </c>
      <c r="C53" s="9" t="inlineStr">
        <is>
          <t>Woven</t>
        </is>
      </c>
      <c r="D53" s="17" t="n">
        <v>498</v>
      </c>
      <c r="E53" s="17" t="n">
        <v>0</v>
      </c>
      <c r="F53" s="17">
        <f>E53-D53</f>
        <v>-498</v>
      </c>
      <c r="G53" s="18">
        <f>IFERROR(F53/D53,"")</f>
        <v>-1.0</v>
      </c>
      <c r="H53" s="9" t="str">
        <f>IF(D53=0,"新增",IF(E53=0,"消失",IF(F53&gt;0,"增加",IF(F53&lt;0,"減少","無變化"))))</f>
        <v>消失</v>
      </c>
    </row>
    <row r="54">
      <c r="A54" s="9" t="inlineStr">
        <is>
          <t>GU-22</t>
        </is>
      </c>
      <c r="B54" s="9" t="inlineStr">
        <is>
          <t>60227H040A</t>
        </is>
      </c>
      <c r="C54" s="9" t="inlineStr">
        <is>
          <t>Woven</t>
        </is>
      </c>
      <c r="D54" s="17" t="n">
        <v>22472</v>
      </c>
      <c r="E54" s="17" t="n">
        <v>22015</v>
      </c>
      <c r="F54" s="17">
        <f>E54-D54</f>
        <v>-457</v>
      </c>
      <c r="G54" s="18">
        <f>IFERROR(F54/D54,"")</f>
        <v>-0.0203364187</v>
      </c>
      <c r="H54" s="9" t="str">
        <f>IF(D54=0,"新增",IF(E54=0,"消失",IF(F54&gt;0,"增加",IF(F54&lt;0,"減少","無變化"))))</f>
        <v>減少</v>
      </c>
    </row>
    <row r="55">
      <c r="A55" s="9" t="inlineStr">
        <is>
          <t>GU-22</t>
        </is>
      </c>
      <c r="B55" s="9" t="inlineStr">
        <is>
          <t>60227H047D</t>
        </is>
      </c>
      <c r="C55" s="9" t="inlineStr">
        <is>
          <t>Woven</t>
        </is>
      </c>
      <c r="D55" s="17" t="n">
        <v>4453</v>
      </c>
      <c r="E55" s="17" t="n">
        <v>4022</v>
      </c>
      <c r="F55" s="17">
        <f>E55-D55</f>
        <v>-431</v>
      </c>
      <c r="G55" s="18">
        <f>IFERROR(F55/D55,"")</f>
        <v>-0.0967886818</v>
      </c>
      <c r="H55" s="9" t="str">
        <f>IF(D55=0,"新增",IF(E55=0,"消失",IF(F55&gt;0,"增加",IF(F55&lt;0,"減少","無變化"))))</f>
        <v>減少</v>
      </c>
    </row>
    <row r="56">
      <c r="A56" s="9" t="inlineStr">
        <is>
          <t>GU-22</t>
        </is>
      </c>
      <c r="B56" s="9" t="inlineStr">
        <is>
          <t>60227N041C</t>
        </is>
      </c>
      <c r="C56" s="9" t="inlineStr">
        <is>
          <t>Woven</t>
        </is>
      </c>
      <c r="D56" s="17" t="n">
        <v>4932</v>
      </c>
      <c r="E56" s="17" t="n">
        <v>4599</v>
      </c>
      <c r="F56" s="17">
        <f>E56-D56</f>
        <v>-333</v>
      </c>
      <c r="G56" s="18">
        <f>IFERROR(F56/D56,"")</f>
        <v>-0.0675182482</v>
      </c>
      <c r="H56" s="9" t="str">
        <f>IF(D56=0,"新增",IF(E56=0,"消失",IF(F56&gt;0,"增加",IF(F56&lt;0,"減少","無變化"))))</f>
        <v>減少</v>
      </c>
    </row>
    <row r="57">
      <c r="A57" s="9" t="inlineStr">
        <is>
          <t>GU-22</t>
        </is>
      </c>
      <c r="B57" s="9" t="inlineStr">
        <is>
          <t>60227N007N</t>
        </is>
      </c>
      <c r="C57" s="9" t="inlineStr">
        <is>
          <t>Woven</t>
        </is>
      </c>
      <c r="D57" s="17" t="n">
        <v>2250</v>
      </c>
      <c r="E57" s="17" t="n">
        <v>1949</v>
      </c>
      <c r="F57" s="17">
        <f>E57-D57</f>
        <v>-301</v>
      </c>
      <c r="G57" s="18">
        <f>IFERROR(F57/D57,"")</f>
        <v>-0.1337777778</v>
      </c>
      <c r="H57" s="9" t="str">
        <f>IF(D57=0,"新增",IF(E57=0,"消失",IF(F57&gt;0,"增加",IF(F57&lt;0,"減少","無變化"))))</f>
        <v>減少</v>
      </c>
    </row>
    <row r="58">
      <c r="A58" s="9" t="inlineStr">
        <is>
          <t>GU-22</t>
        </is>
      </c>
      <c r="B58" s="9" t="inlineStr">
        <is>
          <t>60227H046D</t>
        </is>
      </c>
      <c r="C58" s="9" t="inlineStr">
        <is>
          <t>Woven</t>
        </is>
      </c>
      <c r="D58" s="17" t="n">
        <v>9533</v>
      </c>
      <c r="E58" s="17" t="n">
        <v>9290</v>
      </c>
      <c r="F58" s="17">
        <f>E58-D58</f>
        <v>-243</v>
      </c>
      <c r="G58" s="18">
        <f>IFERROR(F58/D58,"")</f>
        <v>-0.0254904018</v>
      </c>
      <c r="H58" s="9" t="str">
        <f>IF(D58=0,"新增",IF(E58=0,"消失",IF(F58&gt;0,"增加",IF(F58&lt;0,"減少","無變化"))))</f>
        <v>減少</v>
      </c>
    </row>
    <row r="59">
      <c r="A59" s="9" t="inlineStr">
        <is>
          <t>GU-22</t>
        </is>
      </c>
      <c r="B59" s="9" t="inlineStr">
        <is>
          <t>60227H047C</t>
        </is>
      </c>
      <c r="C59" s="9" t="inlineStr">
        <is>
          <t>Woven</t>
        </is>
      </c>
      <c r="D59" s="17" t="n">
        <v>1955</v>
      </c>
      <c r="E59" s="17" t="n">
        <v>1719</v>
      </c>
      <c r="F59" s="17">
        <f>E59-D59</f>
        <v>-236</v>
      </c>
      <c r="G59" s="18">
        <f>IFERROR(F59/D59,"")</f>
        <v>-0.1207161125</v>
      </c>
      <c r="H59" s="9" t="str">
        <f>IF(D59=0,"新增",IF(E59=0,"消失",IF(F59&gt;0,"增加",IF(F59&lt;0,"減少","無變化"))))</f>
        <v>減少</v>
      </c>
    </row>
    <row r="60">
      <c r="A60" s="9" t="inlineStr">
        <is>
          <t>GU-22</t>
        </is>
      </c>
      <c r="B60" s="9" t="inlineStr">
        <is>
          <t>60227N041B</t>
        </is>
      </c>
      <c r="C60" s="9" t="inlineStr">
        <is>
          <t>Woven</t>
        </is>
      </c>
      <c r="D60" s="17" t="n">
        <v>2277</v>
      </c>
      <c r="E60" s="17" t="n">
        <v>2062</v>
      </c>
      <c r="F60" s="17">
        <f>E60-D60</f>
        <v>-215</v>
      </c>
      <c r="G60" s="18">
        <f>IFERROR(F60/D60,"")</f>
        <v>-0.0944224857</v>
      </c>
      <c r="H60" s="9" t="str">
        <f>IF(D60=0,"新增",IF(E60=0,"消失",IF(F60&gt;0,"增加",IF(F60&lt;0,"減少","無變化"))))</f>
        <v>減少</v>
      </c>
    </row>
    <row r="61">
      <c r="A61" s="9" t="inlineStr">
        <is>
          <t>GU-22</t>
        </is>
      </c>
      <c r="B61" s="9" t="inlineStr">
        <is>
          <t>60227H046A</t>
        </is>
      </c>
      <c r="C61" s="9" t="inlineStr">
        <is>
          <t>Woven</t>
        </is>
      </c>
      <c r="D61" s="17" t="n">
        <v>11287</v>
      </c>
      <c r="E61" s="17" t="n">
        <v>11110</v>
      </c>
      <c r="F61" s="17">
        <f>E61-D61</f>
        <v>-177</v>
      </c>
      <c r="G61" s="18">
        <f>IFERROR(F61/D61,"")</f>
        <v>-0.0156817578</v>
      </c>
      <c r="H61" s="9" t="str">
        <f>IF(D61=0,"新增",IF(E61=0,"消失",IF(F61&gt;0,"增加",IF(F61&lt;0,"減少","無變化"))))</f>
        <v>減少</v>
      </c>
    </row>
    <row r="62">
      <c r="A62" s="9" t="inlineStr">
        <is>
          <t>GU-22</t>
        </is>
      </c>
      <c r="B62" s="9" t="inlineStr">
        <is>
          <t>60227H046B</t>
        </is>
      </c>
      <c r="C62" s="9" t="inlineStr">
        <is>
          <t>Woven</t>
        </is>
      </c>
      <c r="D62" s="17" t="n">
        <v>25595</v>
      </c>
      <c r="E62" s="17" t="n">
        <v>25496</v>
      </c>
      <c r="F62" s="17">
        <f>E62-D62</f>
        <v>-99</v>
      </c>
      <c r="G62" s="18">
        <f>IFERROR(F62/D62,"")</f>
        <v>-0.003867943</v>
      </c>
      <c r="H62" s="9" t="str">
        <f>IF(D62=0,"新增",IF(E62=0,"消失",IF(F62&gt;0,"增加",IF(F62&lt;0,"減少","無變化"))))</f>
        <v>減少</v>
      </c>
    </row>
    <row r="63">
      <c r="A63" s="9" t="inlineStr">
        <is>
          <t>GU-22</t>
        </is>
      </c>
      <c r="B63" s="9" t="inlineStr">
        <is>
          <t>60227N002B</t>
        </is>
      </c>
      <c r="C63" s="9" t="inlineStr">
        <is>
          <t>Woven</t>
        </is>
      </c>
      <c r="D63" s="17" t="n">
        <v>6614</v>
      </c>
      <c r="E63" s="17" t="n">
        <v>6600</v>
      </c>
      <c r="F63" s="17">
        <f>E63-D63</f>
        <v>-14</v>
      </c>
      <c r="G63" s="18">
        <f>IFERROR(F63/D63,"")</f>
        <v>-0.0021167221</v>
      </c>
      <c r="H63" s="9" t="str">
        <f>IF(D63=0,"新增",IF(E63=0,"消失",IF(F63&gt;0,"增加",IF(F63&lt;0,"減少","無變化"))))</f>
        <v>減少</v>
      </c>
    </row>
    <row r="64">
      <c r="A64" s="9" t="inlineStr">
        <is>
          <t>GU-22</t>
        </is>
      </c>
      <c r="B64" s="9" t="inlineStr">
        <is>
          <t>60227H039A</t>
        </is>
      </c>
      <c r="C64" s="9" t="inlineStr">
        <is>
          <t>Woven</t>
        </is>
      </c>
      <c r="D64" s="17" t="n">
        <v>29988</v>
      </c>
      <c r="E64" s="17" t="n">
        <v>29982</v>
      </c>
      <c r="F64" s="17">
        <f>E64-D64</f>
        <v>-6</v>
      </c>
      <c r="G64" s="18">
        <f>IFERROR(F64/D64,"")</f>
        <v>-0.00020008</v>
      </c>
      <c r="H64" s="9" t="str">
        <f>IF(D64=0,"新增",IF(E64=0,"消失",IF(F64&gt;0,"增加",IF(F64&lt;0,"減少","無變化"))))</f>
        <v>減少</v>
      </c>
    </row>
    <row r="65">
      <c r="A65" s="9" t="inlineStr">
        <is>
          <t>GU-22</t>
        </is>
      </c>
      <c r="B65" s="9" t="inlineStr">
        <is>
          <t>60227H034A</t>
        </is>
      </c>
      <c r="C65" s="9" t="inlineStr">
        <is>
          <t>Woven</t>
        </is>
      </c>
      <c r="D65" s="17" t="n">
        <v>15792</v>
      </c>
      <c r="E65" s="17" t="n">
        <v>15789</v>
      </c>
      <c r="F65" s="17">
        <f>E65-D65</f>
        <v>-3</v>
      </c>
      <c r="G65" s="18">
        <f>IFERROR(F65/D65,"")</f>
        <v>-0.0001899696</v>
      </c>
      <c r="H65" s="9" t="str">
        <f>IF(D65=0,"新增",IF(E65=0,"消失",IF(F65&gt;0,"增加",IF(F65&lt;0,"減少","無變化"))))</f>
        <v>減少</v>
      </c>
    </row>
    <row r="66">
      <c r="A66" s="9" t="inlineStr">
        <is>
          <t>GU-22</t>
        </is>
      </c>
      <c r="B66" s="9" t="inlineStr">
        <is>
          <t>60226F033A</t>
        </is>
      </c>
      <c r="C66" s="9" t="inlineStr">
        <is>
          <t>Woven</t>
        </is>
      </c>
      <c r="D66" s="17" t="n">
        <v>768</v>
      </c>
      <c r="E66" s="17" t="n">
        <v>766</v>
      </c>
      <c r="F66" s="17">
        <f>E66-D66</f>
        <v>-2</v>
      </c>
      <c r="G66" s="18">
        <f>IFERROR(F66/D66,"")</f>
        <v>-0.0026041667</v>
      </c>
      <c r="H66" s="9" t="str">
        <f>IF(D66=0,"新增",IF(E66=0,"消失",IF(F66&gt;0,"增加",IF(F66&lt;0,"減少","無變化"))))</f>
        <v>減少</v>
      </c>
    </row>
    <row r="67">
      <c r="A67" s="9" t="inlineStr">
        <is>
          <t>GU-22</t>
        </is>
      </c>
      <c r="B67" s="9" t="inlineStr">
        <is>
          <t>60226F071A</t>
        </is>
      </c>
      <c r="C67" s="9" t="inlineStr">
        <is>
          <t>Woven</t>
        </is>
      </c>
      <c r="D67" s="17" t="n">
        <v>15977</v>
      </c>
      <c r="E67" s="17" t="n">
        <v>15975</v>
      </c>
      <c r="F67" s="17">
        <f>E67-D67</f>
        <v>-2</v>
      </c>
      <c r="G67" s="18">
        <f>IFERROR(F67/D67,"")</f>
        <v>-0.0001251799</v>
      </c>
      <c r="H67" s="9" t="str">
        <f>IF(D67=0,"新增",IF(E67=0,"消失",IF(F67&gt;0,"增加",IF(F67&lt;0,"減少","無變化"))))</f>
        <v>減少</v>
      </c>
    </row>
    <row r="68">
      <c r="A68" s="9" t="inlineStr">
        <is>
          <t>GU-22</t>
        </is>
      </c>
      <c r="B68" s="9" t="inlineStr">
        <is>
          <t>60226F073E</t>
        </is>
      </c>
      <c r="C68" s="9" t="inlineStr">
        <is>
          <t>Knit</t>
        </is>
      </c>
      <c r="D68" s="17" t="n">
        <v>42227</v>
      </c>
      <c r="E68" s="17" t="n">
        <v>42225</v>
      </c>
      <c r="F68" s="17">
        <f>E68-D68</f>
        <v>-2</v>
      </c>
      <c r="G68" s="18">
        <f>IFERROR(F68/D68,"")</f>
        <v>-4.73631e-05</v>
      </c>
      <c r="H68" s="9" t="str">
        <f>IF(D68=0,"新增",IF(E68=0,"消失",IF(F68&gt;0,"增加",IF(F68&lt;0,"減少","無變化"))))</f>
        <v>減少</v>
      </c>
    </row>
    <row r="69">
      <c r="A69" s="9" t="inlineStr">
        <is>
          <t>GU-22</t>
        </is>
      </c>
      <c r="B69" s="9" t="inlineStr">
        <is>
          <t>60226F078A</t>
        </is>
      </c>
      <c r="C69" s="9" t="inlineStr">
        <is>
          <t>Knit</t>
        </is>
      </c>
      <c r="D69" s="17" t="n">
        <v>18201</v>
      </c>
      <c r="E69" s="17" t="n">
        <v>18200</v>
      </c>
      <c r="F69" s="17">
        <f>E69-D69</f>
        <v>-1</v>
      </c>
      <c r="G69" s="18">
        <f>IFERROR(F69/D69,"")</f>
        <v>-5.4942e-05</v>
      </c>
      <c r="H69" s="9" t="str">
        <f>IF(D69=0,"新增",IF(E69=0,"消失",IF(F69&gt;0,"增加",IF(F69&lt;0,"減少","無變化"))))</f>
        <v>減少</v>
      </c>
    </row>
    <row r="70">
      <c r="A70" s="9" t="inlineStr">
        <is>
          <t>GU-22</t>
        </is>
      </c>
      <c r="B70" s="9" t="inlineStr">
        <is>
          <t>60226F019A</t>
        </is>
      </c>
      <c r="C70" s="9" t="inlineStr">
        <is>
          <t>Woven</t>
        </is>
      </c>
      <c r="D70" s="17" t="n">
        <v>3122</v>
      </c>
      <c r="E70" s="17" t="n">
        <v>3122</v>
      </c>
      <c r="F70" s="17">
        <f>E70-D70</f>
        <v>0</v>
      </c>
      <c r="G70" s="18">
        <f>IFERROR(F70/D70,"")</f>
        <v>0.0</v>
      </c>
      <c r="H70" s="9" t="str">
        <f>IF(D70=0,"新增",IF(E70=0,"消失",IF(F70&gt;0,"增加",IF(F70&lt;0,"減少","無變化"))))</f>
        <v>無變化</v>
      </c>
    </row>
    <row r="71">
      <c r="A71" s="9" t="inlineStr">
        <is>
          <t>GU-22</t>
        </is>
      </c>
      <c r="B71" s="9" t="inlineStr">
        <is>
          <t>60226F019B</t>
        </is>
      </c>
      <c r="C71" s="9" t="inlineStr">
        <is>
          <t>Woven</t>
        </is>
      </c>
      <c r="D71" s="17" t="n">
        <v>5026</v>
      </c>
      <c r="E71" s="17" t="n">
        <v>5026</v>
      </c>
      <c r="F71" s="17">
        <f>E71-D71</f>
        <v>0</v>
      </c>
      <c r="G71" s="18">
        <f>IFERROR(F71/D71,"")</f>
        <v>0.0</v>
      </c>
      <c r="H71" s="9" t="str">
        <f>IF(D71=0,"新增",IF(E71=0,"消失",IF(F71&gt;0,"增加",IF(F71&lt;0,"減少","無變化"))))</f>
        <v>無變化</v>
      </c>
    </row>
    <row r="72">
      <c r="A72" s="9" t="inlineStr">
        <is>
          <t>GU-22</t>
        </is>
      </c>
      <c r="B72" s="9" t="inlineStr">
        <is>
          <t>60226F019C</t>
        </is>
      </c>
      <c r="C72" s="9" t="inlineStr">
        <is>
          <t>Woven</t>
        </is>
      </c>
      <c r="D72" s="17" t="n">
        <v>4381</v>
      </c>
      <c r="E72" s="17" t="n">
        <v>4381</v>
      </c>
      <c r="F72" s="17">
        <f>E72-D72</f>
        <v>0</v>
      </c>
      <c r="G72" s="18">
        <f>IFERROR(F72/D72,"")</f>
        <v>0.0</v>
      </c>
      <c r="H72" s="9" t="str">
        <f>IF(D72=0,"新增",IF(E72=0,"消失",IF(F72&gt;0,"增加",IF(F72&lt;0,"減少","無變化"))))</f>
        <v>無變化</v>
      </c>
    </row>
    <row r="73">
      <c r="A73" s="9" t="inlineStr">
        <is>
          <t>GU-22</t>
        </is>
      </c>
      <c r="B73" s="9" t="inlineStr">
        <is>
          <t>60226F019D</t>
        </is>
      </c>
      <c r="C73" s="9" t="inlineStr">
        <is>
          <t>Woven</t>
        </is>
      </c>
      <c r="D73" s="17" t="n">
        <v>162</v>
      </c>
      <c r="E73" s="17" t="n">
        <v>162</v>
      </c>
      <c r="F73" s="17">
        <f>E73-D73</f>
        <v>0</v>
      </c>
      <c r="G73" s="18">
        <f>IFERROR(F73/D73,"")</f>
        <v>0.0</v>
      </c>
      <c r="H73" s="9" t="str">
        <f>IF(D73=0,"新增",IF(E73=0,"消失",IF(F73&gt;0,"增加",IF(F73&lt;0,"減少","無變化"))))</f>
        <v>無變化</v>
      </c>
    </row>
    <row r="74">
      <c r="A74" s="9" t="inlineStr">
        <is>
          <t>GU-22</t>
        </is>
      </c>
      <c r="B74" s="9" t="inlineStr">
        <is>
          <t>60226F019E</t>
        </is>
      </c>
      <c r="C74" s="9" t="inlineStr">
        <is>
          <t>Woven</t>
        </is>
      </c>
      <c r="D74" s="17" t="n">
        <v>314</v>
      </c>
      <c r="E74" s="17" t="n">
        <v>314</v>
      </c>
      <c r="F74" s="17">
        <f>E74-D74</f>
        <v>0</v>
      </c>
      <c r="G74" s="18">
        <f>IFERROR(F74/D74,"")</f>
        <v>0.0</v>
      </c>
      <c r="H74" s="9" t="str">
        <f>IF(D74=0,"新增",IF(E74=0,"消失",IF(F74&gt;0,"增加",IF(F74&lt;0,"減少","無變化"))))</f>
        <v>無變化</v>
      </c>
    </row>
    <row r="75">
      <c r="A75" s="9" t="inlineStr">
        <is>
          <t>GU-22</t>
        </is>
      </c>
      <c r="B75" s="9" t="inlineStr">
        <is>
          <t>60226F019F</t>
        </is>
      </c>
      <c r="C75" s="9" t="inlineStr">
        <is>
          <t>Woven</t>
        </is>
      </c>
      <c r="D75" s="17" t="n">
        <v>213</v>
      </c>
      <c r="E75" s="17" t="n">
        <v>213</v>
      </c>
      <c r="F75" s="17">
        <f>E75-D75</f>
        <v>0</v>
      </c>
      <c r="G75" s="18">
        <f>IFERROR(F75/D75,"")</f>
        <v>0.0</v>
      </c>
      <c r="H75" s="9" t="str">
        <f>IF(D75=0,"新增",IF(E75=0,"消失",IF(F75&gt;0,"增加",IF(F75&lt;0,"減少","無變化"))))</f>
        <v>無變化</v>
      </c>
    </row>
    <row r="76">
      <c r="A76" s="9" t="inlineStr">
        <is>
          <t>GU-22</t>
        </is>
      </c>
      <c r="B76" s="9" t="inlineStr">
        <is>
          <t>60226F019G</t>
        </is>
      </c>
      <c r="C76" s="9" t="inlineStr">
        <is>
          <t>Woven</t>
        </is>
      </c>
      <c r="D76" s="17" t="n">
        <v>240</v>
      </c>
      <c r="E76" s="17" t="n">
        <v>240</v>
      </c>
      <c r="F76" s="17">
        <f>E76-D76</f>
        <v>0</v>
      </c>
      <c r="G76" s="18">
        <f>IFERROR(F76/D76,"")</f>
        <v>0.0</v>
      </c>
      <c r="H76" s="9" t="str">
        <f>IF(D76=0,"新增",IF(E76=0,"消失",IF(F76&gt;0,"增加",IF(F76&lt;0,"減少","無變化"))))</f>
        <v>無變化</v>
      </c>
    </row>
    <row r="77">
      <c r="A77" s="9" t="inlineStr">
        <is>
          <t>GU-22</t>
        </is>
      </c>
      <c r="B77" s="9" t="inlineStr">
        <is>
          <t>60226F019H</t>
        </is>
      </c>
      <c r="C77" s="9" t="inlineStr">
        <is>
          <t>Woven</t>
        </is>
      </c>
      <c r="D77" s="17" t="n">
        <v>475</v>
      </c>
      <c r="E77" s="17" t="n">
        <v>475</v>
      </c>
      <c r="F77" s="17">
        <f>E77-D77</f>
        <v>0</v>
      </c>
      <c r="G77" s="18">
        <f>IFERROR(F77/D77,"")</f>
        <v>0.0</v>
      </c>
      <c r="H77" s="9" t="str">
        <f>IF(D77=0,"新增",IF(E77=0,"消失",IF(F77&gt;0,"增加",IF(F77&lt;0,"減少","無變化"))))</f>
        <v>無變化</v>
      </c>
    </row>
    <row r="78">
      <c r="A78" s="9" t="inlineStr">
        <is>
          <t>GU-22</t>
        </is>
      </c>
      <c r="B78" s="9" t="inlineStr">
        <is>
          <t>60226F019I</t>
        </is>
      </c>
      <c r="C78" s="9" t="inlineStr">
        <is>
          <t>Woven</t>
        </is>
      </c>
      <c r="D78" s="17" t="n">
        <v>250</v>
      </c>
      <c r="E78" s="17" t="n">
        <v>250</v>
      </c>
      <c r="F78" s="17">
        <f>E78-D78</f>
        <v>0</v>
      </c>
      <c r="G78" s="18">
        <f>IFERROR(F78/D78,"")</f>
        <v>0.0</v>
      </c>
      <c r="H78" s="9" t="str">
        <f>IF(D78=0,"新增",IF(E78=0,"消失",IF(F78&gt;0,"增加",IF(F78&lt;0,"減少","無變化"))))</f>
        <v>無變化</v>
      </c>
    </row>
    <row r="79">
      <c r="A79" s="9" t="inlineStr">
        <is>
          <t>GU-22</t>
        </is>
      </c>
      <c r="B79" s="9" t="inlineStr">
        <is>
          <t>60226F019L</t>
        </is>
      </c>
      <c r="C79" s="9" t="inlineStr">
        <is>
          <t>Woven</t>
        </is>
      </c>
      <c r="D79" s="17" t="n">
        <v>5745</v>
      </c>
      <c r="E79" s="17" t="n">
        <v>5745</v>
      </c>
      <c r="F79" s="17">
        <f>E79-D79</f>
        <v>0</v>
      </c>
      <c r="G79" s="18">
        <f>IFERROR(F79/D79,"")</f>
        <v>0.0</v>
      </c>
      <c r="H79" s="9" t="str">
        <f>IF(D79=0,"新增",IF(E79=0,"消失",IF(F79&gt;0,"增加",IF(F79&lt;0,"減少","無變化"))))</f>
        <v>無變化</v>
      </c>
    </row>
    <row r="80">
      <c r="A80" s="9" t="inlineStr">
        <is>
          <t>GU-22</t>
        </is>
      </c>
      <c r="B80" s="9" t="inlineStr">
        <is>
          <t>60226F024B</t>
        </is>
      </c>
      <c r="C80" s="9" t="inlineStr">
        <is>
          <t>Woven</t>
        </is>
      </c>
      <c r="D80" s="17" t="n">
        <v>2062</v>
      </c>
      <c r="E80" s="17" t="n">
        <v>2062</v>
      </c>
      <c r="F80" s="17">
        <f>E80-D80</f>
        <v>0</v>
      </c>
      <c r="G80" s="18">
        <f>IFERROR(F80/D80,"")</f>
        <v>0.0</v>
      </c>
      <c r="H80" s="9" t="str">
        <f>IF(D80=0,"新增",IF(E80=0,"消失",IF(F80&gt;0,"增加",IF(F80&lt;0,"減少","無變化"))))</f>
        <v>無變化</v>
      </c>
    </row>
    <row r="81">
      <c r="A81" s="9" t="inlineStr">
        <is>
          <t>GU-22</t>
        </is>
      </c>
      <c r="B81" s="9" t="inlineStr">
        <is>
          <t>60226F026A</t>
        </is>
      </c>
      <c r="C81" s="9" t="inlineStr">
        <is>
          <t>Woven</t>
        </is>
      </c>
      <c r="D81" s="17" t="n">
        <v>21253</v>
      </c>
      <c r="E81" s="17" t="n">
        <v>21253</v>
      </c>
      <c r="F81" s="17">
        <f>E81-D81</f>
        <v>0</v>
      </c>
      <c r="G81" s="18">
        <f>IFERROR(F81/D81,"")</f>
        <v>0.0</v>
      </c>
      <c r="H81" s="9" t="str">
        <f>IF(D81=0,"新增",IF(E81=0,"消失",IF(F81&gt;0,"增加",IF(F81&lt;0,"減少","無變化"))))</f>
        <v>無變化</v>
      </c>
    </row>
    <row r="82">
      <c r="A82" s="9" t="inlineStr">
        <is>
          <t>GU-22</t>
        </is>
      </c>
      <c r="B82" s="9" t="inlineStr">
        <is>
          <t>60226F026B</t>
        </is>
      </c>
      <c r="C82" s="9" t="inlineStr">
        <is>
          <t>Woven</t>
        </is>
      </c>
      <c r="D82" s="17" t="n">
        <v>4837</v>
      </c>
      <c r="E82" s="17" t="n">
        <v>4837</v>
      </c>
      <c r="F82" s="17">
        <f>E82-D82</f>
        <v>0</v>
      </c>
      <c r="G82" s="18">
        <f>IFERROR(F82/D82,"")</f>
        <v>0.0</v>
      </c>
      <c r="H82" s="9" t="str">
        <f>IF(D82=0,"新增",IF(E82=0,"消失",IF(F82&gt;0,"增加",IF(F82&lt;0,"減少","無變化"))))</f>
        <v>無變化</v>
      </c>
    </row>
    <row r="83">
      <c r="A83" s="9" t="inlineStr">
        <is>
          <t>GU-22</t>
        </is>
      </c>
      <c r="B83" s="9" t="inlineStr">
        <is>
          <t>60226F032A</t>
        </is>
      </c>
      <c r="C83" s="9" t="inlineStr">
        <is>
          <t>Woven</t>
        </is>
      </c>
      <c r="D83" s="17" t="n">
        <v>1964</v>
      </c>
      <c r="E83" s="17" t="n">
        <v>1964</v>
      </c>
      <c r="F83" s="17">
        <f>E83-D83</f>
        <v>0</v>
      </c>
      <c r="G83" s="18">
        <f>IFERROR(F83/D83,"")</f>
        <v>0.0</v>
      </c>
      <c r="H83" s="9" t="str">
        <f>IF(D83=0,"新增",IF(E83=0,"消失",IF(F83&gt;0,"增加",IF(F83&lt;0,"減少","無變化"))))</f>
        <v>無變化</v>
      </c>
    </row>
    <row r="84">
      <c r="A84" s="9" t="inlineStr">
        <is>
          <t>GU-22</t>
        </is>
      </c>
      <c r="B84" s="9" t="inlineStr">
        <is>
          <t>60226F032D</t>
        </is>
      </c>
      <c r="C84" s="9" t="inlineStr">
        <is>
          <t>Woven</t>
        </is>
      </c>
      <c r="D84" s="17" t="n">
        <v>3007</v>
      </c>
      <c r="E84" s="17" t="n">
        <v>3007</v>
      </c>
      <c r="F84" s="17">
        <f>E84-D84</f>
        <v>0</v>
      </c>
      <c r="G84" s="18">
        <f>IFERROR(F84/D84,"")</f>
        <v>0.0</v>
      </c>
      <c r="H84" s="9" t="str">
        <f>IF(D84=0,"新增",IF(E84=0,"消失",IF(F84&gt;0,"增加",IF(F84&lt;0,"減少","無變化"))))</f>
        <v>無變化</v>
      </c>
    </row>
    <row r="85">
      <c r="A85" s="9" t="inlineStr">
        <is>
          <t>GU-22</t>
        </is>
      </c>
      <c r="B85" s="9" t="inlineStr">
        <is>
          <t>60226F033B</t>
        </is>
      </c>
      <c r="C85" s="9" t="inlineStr">
        <is>
          <t>Woven</t>
        </is>
      </c>
      <c r="D85" s="17" t="n">
        <v>491</v>
      </c>
      <c r="E85" s="17" t="n">
        <v>491</v>
      </c>
      <c r="F85" s="17">
        <f>E85-D85</f>
        <v>0</v>
      </c>
      <c r="G85" s="18">
        <f>IFERROR(F85/D85,"")</f>
        <v>0.0</v>
      </c>
      <c r="H85" s="9" t="str">
        <f>IF(D85=0,"新增",IF(E85=0,"消失",IF(F85&gt;0,"增加",IF(F85&lt;0,"減少","無變化"))))</f>
        <v>無變化</v>
      </c>
    </row>
    <row r="86">
      <c r="A86" s="9" t="inlineStr">
        <is>
          <t>GU-22</t>
        </is>
      </c>
      <c r="B86" s="9" t="inlineStr">
        <is>
          <t>60226F037A</t>
        </is>
      </c>
      <c r="C86" s="9" t="inlineStr">
        <is>
          <t>Woven</t>
        </is>
      </c>
      <c r="D86" s="17" t="n">
        <v>5352</v>
      </c>
      <c r="E86" s="17" t="n">
        <v>5352</v>
      </c>
      <c r="F86" s="17">
        <f>E86-D86</f>
        <v>0</v>
      </c>
      <c r="G86" s="18">
        <f>IFERROR(F86/D86,"")</f>
        <v>0.0</v>
      </c>
      <c r="H86" s="9" t="str">
        <f>IF(D86=0,"新增",IF(E86=0,"消失",IF(F86&gt;0,"增加",IF(F86&lt;0,"減少","無變化"))))</f>
        <v>無變化</v>
      </c>
    </row>
    <row r="87">
      <c r="A87" s="9" t="inlineStr">
        <is>
          <t>GU-22</t>
        </is>
      </c>
      <c r="B87" s="9" t="inlineStr">
        <is>
          <t>60226F037B</t>
        </is>
      </c>
      <c r="C87" s="9" t="inlineStr">
        <is>
          <t>Woven</t>
        </is>
      </c>
      <c r="D87" s="17" t="n">
        <v>933</v>
      </c>
      <c r="E87" s="17" t="n">
        <v>933</v>
      </c>
      <c r="F87" s="17">
        <f>E87-D87</f>
        <v>0</v>
      </c>
      <c r="G87" s="18">
        <f>IFERROR(F87/D87,"")</f>
        <v>0.0</v>
      </c>
      <c r="H87" s="9" t="str">
        <f>IF(D87=0,"新增",IF(E87=0,"消失",IF(F87&gt;0,"增加",IF(F87&lt;0,"減少","無變化"))))</f>
        <v>無變化</v>
      </c>
    </row>
    <row r="88">
      <c r="A88" s="9" t="inlineStr">
        <is>
          <t>GU-22</t>
        </is>
      </c>
      <c r="B88" s="9" t="inlineStr">
        <is>
          <t>60226F051E</t>
        </is>
      </c>
      <c r="C88" s="9" t="inlineStr">
        <is>
          <t>Woven</t>
        </is>
      </c>
      <c r="D88" s="17" t="n">
        <v>3826</v>
      </c>
      <c r="E88" s="17" t="n">
        <v>3826</v>
      </c>
      <c r="F88" s="17">
        <f>E88-D88</f>
        <v>0</v>
      </c>
      <c r="G88" s="18">
        <f>IFERROR(F88/D88,"")</f>
        <v>0.0</v>
      </c>
      <c r="H88" s="9" t="str">
        <f>IF(D88=0,"新增",IF(E88=0,"消失",IF(F88&gt;0,"增加",IF(F88&lt;0,"減少","無變化"))))</f>
        <v>無變化</v>
      </c>
    </row>
    <row r="89">
      <c r="A89" s="9" t="inlineStr">
        <is>
          <t>GU-22</t>
        </is>
      </c>
      <c r="B89" s="9" t="inlineStr">
        <is>
          <t>60226F068A</t>
        </is>
      </c>
      <c r="C89" s="9" t="inlineStr">
        <is>
          <t>Woven</t>
        </is>
      </c>
      <c r="D89" s="17" t="n">
        <v>124</v>
      </c>
      <c r="E89" s="17" t="n">
        <v>124</v>
      </c>
      <c r="F89" s="17">
        <f>E89-D89</f>
        <v>0</v>
      </c>
      <c r="G89" s="18">
        <f>IFERROR(F89/D89,"")</f>
        <v>0.0</v>
      </c>
      <c r="H89" s="9" t="str">
        <f>IF(D89=0,"新增",IF(E89=0,"消失",IF(F89&gt;0,"增加",IF(F89&lt;0,"減少","無變化"))))</f>
        <v>無變化</v>
      </c>
    </row>
    <row r="90">
      <c r="A90" s="9" t="inlineStr">
        <is>
          <t>GU-22</t>
        </is>
      </c>
      <c r="B90" s="9" t="inlineStr">
        <is>
          <t>60226F069A</t>
        </is>
      </c>
      <c r="C90" s="9" t="inlineStr">
        <is>
          <t>Woven</t>
        </is>
      </c>
      <c r="D90" s="17" t="n">
        <v>8525</v>
      </c>
      <c r="E90" s="17" t="n">
        <v>8525</v>
      </c>
      <c r="F90" s="17">
        <f>E90-D90</f>
        <v>0</v>
      </c>
      <c r="G90" s="18">
        <f>IFERROR(F90/D90,"")</f>
        <v>0.0</v>
      </c>
      <c r="H90" s="9" t="str">
        <f>IF(D90=0,"新增",IF(E90=0,"消失",IF(F90&gt;0,"增加",IF(F90&lt;0,"減少","無變化"))))</f>
        <v>無變化</v>
      </c>
    </row>
    <row r="91">
      <c r="A91" s="9" t="inlineStr">
        <is>
          <t>GU-22</t>
        </is>
      </c>
      <c r="B91" s="9" t="inlineStr">
        <is>
          <t>60226F069B</t>
        </is>
      </c>
      <c r="C91" s="9" t="inlineStr">
        <is>
          <t>Woven</t>
        </is>
      </c>
      <c r="D91" s="17" t="n">
        <v>84</v>
      </c>
      <c r="E91" s="17" t="n">
        <v>84</v>
      </c>
      <c r="F91" s="17">
        <f>E91-D91</f>
        <v>0</v>
      </c>
      <c r="G91" s="18">
        <f>IFERROR(F91/D91,"")</f>
        <v>0.0</v>
      </c>
      <c r="H91" s="9" t="str">
        <f>IF(D91=0,"新增",IF(E91=0,"消失",IF(F91&gt;0,"增加",IF(F91&lt;0,"減少","無變化"))))</f>
        <v>無變化</v>
      </c>
    </row>
    <row r="92">
      <c r="A92" s="9" t="inlineStr">
        <is>
          <t>GU-22</t>
        </is>
      </c>
      <c r="B92" s="9" t="inlineStr">
        <is>
          <t>60226F069F</t>
        </is>
      </c>
      <c r="C92" s="9" t="inlineStr">
        <is>
          <t>Woven</t>
        </is>
      </c>
      <c r="D92" s="17" t="n">
        <v>81</v>
      </c>
      <c r="E92" s="17" t="n">
        <v>81</v>
      </c>
      <c r="F92" s="17">
        <f>E92-D92</f>
        <v>0</v>
      </c>
      <c r="G92" s="18">
        <f>IFERROR(F92/D92,"")</f>
        <v>0.0</v>
      </c>
      <c r="H92" s="9" t="str">
        <f>IF(D92=0,"新增",IF(E92=0,"消失",IF(F92&gt;0,"增加",IF(F92&lt;0,"減少","無變化"))))</f>
        <v>無變化</v>
      </c>
    </row>
    <row r="93">
      <c r="A93" s="9" t="inlineStr">
        <is>
          <t>GU-22</t>
        </is>
      </c>
      <c r="B93" s="9" t="inlineStr">
        <is>
          <t>60226F069H</t>
        </is>
      </c>
      <c r="C93" s="9" t="inlineStr">
        <is>
          <t>Woven</t>
        </is>
      </c>
      <c r="D93" s="17" t="n">
        <v>94</v>
      </c>
      <c r="E93" s="17" t="n">
        <v>94</v>
      </c>
      <c r="F93" s="17">
        <f>E93-D93</f>
        <v>0</v>
      </c>
      <c r="G93" s="18">
        <f>IFERROR(F93/D93,"")</f>
        <v>0.0</v>
      </c>
      <c r="H93" s="9" t="str">
        <f>IF(D93=0,"新增",IF(E93=0,"消失",IF(F93&gt;0,"增加",IF(F93&lt;0,"減少","無變化"))))</f>
        <v>無變化</v>
      </c>
    </row>
    <row r="94">
      <c r="A94" s="9" t="inlineStr">
        <is>
          <t>GU-22</t>
        </is>
      </c>
      <c r="B94" s="9" t="inlineStr">
        <is>
          <t>60226F072A</t>
        </is>
      </c>
      <c r="C94" s="9" t="inlineStr">
        <is>
          <t>Knit</t>
        </is>
      </c>
      <c r="D94" s="17" t="n">
        <v>20147</v>
      </c>
      <c r="E94" s="17" t="n">
        <v>20147</v>
      </c>
      <c r="F94" s="17">
        <f>E94-D94</f>
        <v>0</v>
      </c>
      <c r="G94" s="18">
        <f>IFERROR(F94/D94,"")</f>
        <v>0.0</v>
      </c>
      <c r="H94" s="9" t="str">
        <f>IF(D94=0,"新增",IF(E94=0,"消失",IF(F94&gt;0,"增加",IF(F94&lt;0,"減少","無變化"))))</f>
        <v>無變化</v>
      </c>
    </row>
    <row r="95">
      <c r="A95" s="9" t="inlineStr">
        <is>
          <t>GU-22</t>
        </is>
      </c>
      <c r="B95" s="9" t="inlineStr">
        <is>
          <t>60226F072C</t>
        </is>
      </c>
      <c r="C95" s="9" t="inlineStr">
        <is>
          <t>Knit</t>
        </is>
      </c>
      <c r="D95" s="17" t="n">
        <v>1904</v>
      </c>
      <c r="E95" s="17" t="n">
        <v>1904</v>
      </c>
      <c r="F95" s="17">
        <f>E95-D95</f>
        <v>0</v>
      </c>
      <c r="G95" s="18">
        <f>IFERROR(F95/D95,"")</f>
        <v>0.0</v>
      </c>
      <c r="H95" s="9" t="str">
        <f>IF(D95=0,"新增",IF(E95=0,"消失",IF(F95&gt;0,"增加",IF(F95&lt;0,"減少","無變化"))))</f>
        <v>無變化</v>
      </c>
    </row>
    <row r="96">
      <c r="A96" s="9" t="inlineStr">
        <is>
          <t>GU-22</t>
        </is>
      </c>
      <c r="B96" s="9" t="inlineStr">
        <is>
          <t>60226F072D</t>
        </is>
      </c>
      <c r="C96" s="9" t="inlineStr">
        <is>
          <t>Knit</t>
        </is>
      </c>
      <c r="D96" s="17" t="n">
        <v>1056</v>
      </c>
      <c r="E96" s="17" t="n">
        <v>1056</v>
      </c>
      <c r="F96" s="17">
        <f>E96-D96</f>
        <v>0</v>
      </c>
      <c r="G96" s="18">
        <f>IFERROR(F96/D96,"")</f>
        <v>0.0</v>
      </c>
      <c r="H96" s="9" t="str">
        <f>IF(D96=0,"新增",IF(E96=0,"消失",IF(F96&gt;0,"增加",IF(F96&lt;0,"減少","無變化"))))</f>
        <v>無變化</v>
      </c>
    </row>
    <row r="97">
      <c r="A97" s="9" t="inlineStr">
        <is>
          <t>GU-22</t>
        </is>
      </c>
      <c r="B97" s="9" t="inlineStr">
        <is>
          <t>60226F072E</t>
        </is>
      </c>
      <c r="C97" s="9" t="inlineStr">
        <is>
          <t>Knit</t>
        </is>
      </c>
      <c r="D97" s="17" t="n">
        <v>13664</v>
      </c>
      <c r="E97" s="17" t="n">
        <v>13664</v>
      </c>
      <c r="F97" s="17">
        <f>E97-D97</f>
        <v>0</v>
      </c>
      <c r="G97" s="18">
        <f>IFERROR(F97/D97,"")</f>
        <v>0.0</v>
      </c>
      <c r="H97" s="9" t="str">
        <f>IF(D97=0,"新增",IF(E97=0,"消失",IF(F97&gt;0,"增加",IF(F97&lt;0,"減少","無變化"))))</f>
        <v>無變化</v>
      </c>
    </row>
    <row r="98">
      <c r="A98" s="9" t="inlineStr">
        <is>
          <t>GU-22</t>
        </is>
      </c>
      <c r="B98" s="9" t="inlineStr">
        <is>
          <t>60226F073A</t>
        </is>
      </c>
      <c r="C98" s="9" t="inlineStr">
        <is>
          <t>Knit</t>
        </is>
      </c>
      <c r="D98" s="17" t="n">
        <v>51241</v>
      </c>
      <c r="E98" s="17" t="n">
        <v>51241</v>
      </c>
      <c r="F98" s="17">
        <f>E98-D98</f>
        <v>0</v>
      </c>
      <c r="G98" s="18">
        <f>IFERROR(F98/D98,"")</f>
        <v>0.0</v>
      </c>
      <c r="H98" s="9" t="str">
        <f>IF(D98=0,"新增",IF(E98=0,"消失",IF(F98&gt;0,"增加",IF(F98&lt;0,"減少","無變化"))))</f>
        <v>無變化</v>
      </c>
    </row>
    <row r="99">
      <c r="A99" s="9" t="inlineStr">
        <is>
          <t>GU-22</t>
        </is>
      </c>
      <c r="B99" s="9" t="inlineStr">
        <is>
          <t>60226F073B</t>
        </is>
      </c>
      <c r="C99" s="9" t="inlineStr">
        <is>
          <t>Knit</t>
        </is>
      </c>
      <c r="D99" s="17" t="n">
        <v>1656</v>
      </c>
      <c r="E99" s="17" t="n">
        <v>1656</v>
      </c>
      <c r="F99" s="17">
        <f>E99-D99</f>
        <v>0</v>
      </c>
      <c r="G99" s="18">
        <f>IFERROR(F99/D99,"")</f>
        <v>0.0</v>
      </c>
      <c r="H99" s="9" t="str">
        <f>IF(D99=0,"新增",IF(E99=0,"消失",IF(F99&gt;0,"增加",IF(F99&lt;0,"減少","無變化"))))</f>
        <v>無變化</v>
      </c>
    </row>
    <row r="100">
      <c r="A100" s="9" t="inlineStr">
        <is>
          <t>GU-22</t>
        </is>
      </c>
      <c r="B100" s="9" t="inlineStr">
        <is>
          <t>60226F073D</t>
        </is>
      </c>
      <c r="C100" s="9" t="inlineStr">
        <is>
          <t>Knit</t>
        </is>
      </c>
      <c r="D100" s="17" t="n">
        <v>2747</v>
      </c>
      <c r="E100" s="17" t="n">
        <v>2747</v>
      </c>
      <c r="F100" s="17">
        <f>E100-D100</f>
        <v>0</v>
      </c>
      <c r="G100" s="18">
        <f>IFERROR(F100/D100,"")</f>
        <v>0.0</v>
      </c>
      <c r="H100" s="9" t="str">
        <f>IF(D100=0,"新增",IF(E100=0,"消失",IF(F100&gt;0,"增加",IF(F100&lt;0,"減少","無變化"))))</f>
        <v>無變化</v>
      </c>
    </row>
    <row r="101">
      <c r="A101" s="9" t="inlineStr">
        <is>
          <t>GU-22</t>
        </is>
      </c>
      <c r="B101" s="9" t="inlineStr">
        <is>
          <t>60226F073F</t>
        </is>
      </c>
      <c r="C101" s="9" t="inlineStr">
        <is>
          <t>Knit</t>
        </is>
      </c>
      <c r="D101" s="17" t="n">
        <v>332</v>
      </c>
      <c r="E101" s="17" t="n">
        <v>332</v>
      </c>
      <c r="F101" s="17">
        <f>E101-D101</f>
        <v>0</v>
      </c>
      <c r="G101" s="18">
        <f>IFERROR(F101/D101,"")</f>
        <v>0.0</v>
      </c>
      <c r="H101" s="9" t="str">
        <f>IF(D101=0,"新增",IF(E101=0,"消失",IF(F101&gt;0,"增加",IF(F101&lt;0,"減少","無變化"))))</f>
        <v>無變化</v>
      </c>
    </row>
    <row r="102">
      <c r="A102" s="9" t="inlineStr">
        <is>
          <t>GU-22</t>
        </is>
      </c>
      <c r="B102" s="9" t="inlineStr">
        <is>
          <t>60226F073G</t>
        </is>
      </c>
      <c r="C102" s="9" t="inlineStr">
        <is>
          <t>Knit</t>
        </is>
      </c>
      <c r="D102" s="17" t="n">
        <v>646</v>
      </c>
      <c r="E102" s="17" t="n">
        <v>646</v>
      </c>
      <c r="F102" s="17">
        <f>E102-D102</f>
        <v>0</v>
      </c>
      <c r="G102" s="18">
        <f>IFERROR(F102/D102,"")</f>
        <v>0.0</v>
      </c>
      <c r="H102" s="9" t="str">
        <f>IF(D102=0,"新增",IF(E102=0,"消失",IF(F102&gt;0,"增加",IF(F102&lt;0,"減少","無變化"))))</f>
        <v>無變化</v>
      </c>
    </row>
    <row r="103">
      <c r="A103" s="9" t="inlineStr">
        <is>
          <t>GU-22</t>
        </is>
      </c>
      <c r="B103" s="9" t="inlineStr">
        <is>
          <t>60226F075A</t>
        </is>
      </c>
      <c r="C103" s="9" t="inlineStr">
        <is>
          <t>Woven</t>
        </is>
      </c>
      <c r="D103" s="17" t="n">
        <v>9539</v>
      </c>
      <c r="E103" s="17" t="n">
        <v>9539</v>
      </c>
      <c r="F103" s="17">
        <f>E103-D103</f>
        <v>0</v>
      </c>
      <c r="G103" s="18">
        <f>IFERROR(F103/D103,"")</f>
        <v>0.0</v>
      </c>
      <c r="H103" s="9" t="str">
        <f>IF(D103=0,"新增",IF(E103=0,"消失",IF(F103&gt;0,"增加",IF(F103&lt;0,"減少","無變化"))))</f>
        <v>無變化</v>
      </c>
    </row>
    <row r="104">
      <c r="A104" s="9" t="inlineStr">
        <is>
          <t>GU-22</t>
        </is>
      </c>
      <c r="B104" s="9" t="inlineStr">
        <is>
          <t>60226F077A</t>
        </is>
      </c>
      <c r="C104" s="9" t="inlineStr">
        <is>
          <t>Woven</t>
        </is>
      </c>
      <c r="D104" s="17" t="n">
        <v>11811</v>
      </c>
      <c r="E104" s="17" t="n">
        <v>11811</v>
      </c>
      <c r="F104" s="17">
        <f>E104-D104</f>
        <v>0</v>
      </c>
      <c r="G104" s="18">
        <f>IFERROR(F104/D104,"")</f>
        <v>0.0</v>
      </c>
      <c r="H104" s="9" t="str">
        <f>IF(D104=0,"新增",IF(E104=0,"消失",IF(F104&gt;0,"增加",IF(F104&lt;0,"減少","無變化"))))</f>
        <v>無變化</v>
      </c>
    </row>
    <row r="105">
      <c r="A105" s="9" t="inlineStr">
        <is>
          <t>GU-22</t>
        </is>
      </c>
      <c r="B105" s="9" t="inlineStr">
        <is>
          <t>60226F078B</t>
        </is>
      </c>
      <c r="C105" s="9" t="inlineStr">
        <is>
          <t>Knit</t>
        </is>
      </c>
      <c r="D105" s="17" t="n">
        <v>1748</v>
      </c>
      <c r="E105" s="17" t="n">
        <v>1748</v>
      </c>
      <c r="F105" s="17">
        <f>E105-D105</f>
        <v>0</v>
      </c>
      <c r="G105" s="18">
        <f>IFERROR(F105/D105,"")</f>
        <v>0.0</v>
      </c>
      <c r="H105" s="9" t="str">
        <f>IF(D105=0,"新增",IF(E105=0,"消失",IF(F105&gt;0,"增加",IF(F105&lt;0,"減少","無變化"))))</f>
        <v>無變化</v>
      </c>
    </row>
    <row r="106">
      <c r="A106" s="9" t="inlineStr">
        <is>
          <t>GU-22</t>
        </is>
      </c>
      <c r="B106" s="9" t="inlineStr">
        <is>
          <t>60226N030A</t>
        </is>
      </c>
      <c r="C106" s="9" t="inlineStr">
        <is>
          <t>Woven</t>
        </is>
      </c>
      <c r="D106" s="17" t="n">
        <v>21348</v>
      </c>
      <c r="E106" s="17" t="n">
        <v>21348</v>
      </c>
      <c r="F106" s="17">
        <f>E106-D106</f>
        <v>0</v>
      </c>
      <c r="G106" s="18">
        <f>IFERROR(F106/D106,"")</f>
        <v>0.0</v>
      </c>
      <c r="H106" s="9" t="str">
        <f>IF(D106=0,"新增",IF(E106=0,"消失",IF(F106&gt;0,"增加",IF(F106&lt;0,"減少","無變化"))))</f>
        <v>無變化</v>
      </c>
    </row>
    <row r="107">
      <c r="A107" s="9" t="inlineStr">
        <is>
          <t>GU-22</t>
        </is>
      </c>
      <c r="B107" s="9" t="inlineStr">
        <is>
          <t>60226N033B</t>
        </is>
      </c>
      <c r="C107" s="9" t="inlineStr">
        <is>
          <t>Woven</t>
        </is>
      </c>
      <c r="D107" s="17" t="n">
        <v>3500</v>
      </c>
      <c r="E107" s="17" t="n">
        <v>3500</v>
      </c>
      <c r="F107" s="17">
        <f>E107-D107</f>
        <v>0</v>
      </c>
      <c r="G107" s="18">
        <f>IFERROR(F107/D107,"")</f>
        <v>0.0</v>
      </c>
      <c r="H107" s="9" t="str">
        <f>IF(D107=0,"新增",IF(E107=0,"消失",IF(F107&gt;0,"增加",IF(F107&lt;0,"減少","無變化"))))</f>
        <v>無變化</v>
      </c>
    </row>
    <row r="108">
      <c r="A108" s="9" t="inlineStr">
        <is>
          <t>GU-22</t>
        </is>
      </c>
      <c r="B108" s="9" t="inlineStr">
        <is>
          <t>60227H008B</t>
        </is>
      </c>
      <c r="C108" s="9" t="inlineStr">
        <is>
          <t>Woven</t>
        </is>
      </c>
      <c r="D108" s="17" t="n">
        <v>8340</v>
      </c>
      <c r="E108" s="17" t="n">
        <v>8340</v>
      </c>
      <c r="F108" s="17">
        <f>E108-D108</f>
        <v>0</v>
      </c>
      <c r="G108" s="18">
        <f>IFERROR(F108/D108,"")</f>
        <v>0.0</v>
      </c>
      <c r="H108" s="9" t="str">
        <f>IF(D108=0,"新增",IF(E108=0,"消失",IF(F108&gt;0,"增加",IF(F108&lt;0,"減少","無變化"))))</f>
        <v>無變化</v>
      </c>
    </row>
    <row r="109">
      <c r="A109" s="9" t="inlineStr">
        <is>
          <t>GU-22</t>
        </is>
      </c>
      <c r="B109" s="9" t="inlineStr">
        <is>
          <t>60227H046C</t>
        </is>
      </c>
      <c r="C109" s="9" t="inlineStr">
        <is>
          <t>Woven</t>
        </is>
      </c>
      <c r="D109" s="17" t="n">
        <v>5153</v>
      </c>
      <c r="E109" s="17" t="n">
        <v>5153</v>
      </c>
      <c r="F109" s="17">
        <f>E109-D109</f>
        <v>0</v>
      </c>
      <c r="G109" s="18">
        <f>IFERROR(F109/D109,"")</f>
        <v>0.0</v>
      </c>
      <c r="H109" s="9" t="str">
        <f>IF(D109=0,"新增",IF(E109=0,"消失",IF(F109&gt;0,"增加",IF(F109&lt;0,"減少","無變化"))))</f>
        <v>無變化</v>
      </c>
    </row>
    <row r="110">
      <c r="A110" s="9" t="inlineStr">
        <is>
          <t>GU-22</t>
        </is>
      </c>
      <c r="B110" s="9" t="inlineStr">
        <is>
          <t>60227H046E</t>
        </is>
      </c>
      <c r="C110" s="9" t="inlineStr">
        <is>
          <t>Woven</t>
        </is>
      </c>
      <c r="D110" s="17" t="n">
        <v>2339</v>
      </c>
      <c r="E110" s="17" t="n">
        <v>2339</v>
      </c>
      <c r="F110" s="17">
        <f>E110-D110</f>
        <v>0</v>
      </c>
      <c r="G110" s="18">
        <f>IFERROR(F110/D110,"")</f>
        <v>0.0</v>
      </c>
      <c r="H110" s="9" t="str">
        <f>IF(D110=0,"新增",IF(E110=0,"消失",IF(F110&gt;0,"增加",IF(F110&lt;0,"減少","無變化"))))</f>
        <v>無變化</v>
      </c>
    </row>
    <row r="111">
      <c r="A111" s="9" t="inlineStr">
        <is>
          <t>GU-22</t>
        </is>
      </c>
      <c r="B111" s="9" t="inlineStr">
        <is>
          <t>60227H046F</t>
        </is>
      </c>
      <c r="C111" s="9" t="inlineStr">
        <is>
          <t>Woven</t>
        </is>
      </c>
      <c r="D111" s="17" t="n">
        <v>3554</v>
      </c>
      <c r="E111" s="17" t="n">
        <v>3554</v>
      </c>
      <c r="F111" s="17">
        <f>E111-D111</f>
        <v>0</v>
      </c>
      <c r="G111" s="18">
        <f>IFERROR(F111/D111,"")</f>
        <v>0.0</v>
      </c>
      <c r="H111" s="9" t="str">
        <f>IF(D111=0,"新增",IF(E111=0,"消失",IF(F111&gt;0,"增加",IF(F111&lt;0,"減少","無變化"))))</f>
        <v>無變化</v>
      </c>
    </row>
    <row r="112">
      <c r="A112" s="9" t="inlineStr">
        <is>
          <t>GU-22</t>
        </is>
      </c>
      <c r="B112" s="9" t="inlineStr">
        <is>
          <t>60227H046I</t>
        </is>
      </c>
      <c r="C112" s="9" t="inlineStr">
        <is>
          <t>Woven</t>
        </is>
      </c>
      <c r="D112" s="17" t="n">
        <v>368</v>
      </c>
      <c r="E112" s="17" t="n">
        <v>368</v>
      </c>
      <c r="F112" s="17">
        <f>E112-D112</f>
        <v>0</v>
      </c>
      <c r="G112" s="18">
        <f>IFERROR(F112/D112,"")</f>
        <v>0.0</v>
      </c>
      <c r="H112" s="9" t="str">
        <f>IF(D112=0,"新增",IF(E112=0,"消失",IF(F112&gt;0,"增加",IF(F112&lt;0,"減少","無變化"))))</f>
        <v>無變化</v>
      </c>
    </row>
    <row r="113">
      <c r="A113" s="9" t="inlineStr">
        <is>
          <t>GU-22</t>
        </is>
      </c>
      <c r="B113" s="9" t="inlineStr">
        <is>
          <t>60227H046J</t>
        </is>
      </c>
      <c r="C113" s="9" t="inlineStr">
        <is>
          <t>Woven</t>
        </is>
      </c>
      <c r="D113" s="17" t="n">
        <v>726</v>
      </c>
      <c r="E113" s="17" t="n">
        <v>726</v>
      </c>
      <c r="F113" s="17">
        <f>E113-D113</f>
        <v>0</v>
      </c>
      <c r="G113" s="18">
        <f>IFERROR(F113/D113,"")</f>
        <v>0.0</v>
      </c>
      <c r="H113" s="9" t="str">
        <f>IF(D113=0,"新增",IF(E113=0,"消失",IF(F113&gt;0,"增加",IF(F113&lt;0,"減少","無變化"))))</f>
        <v>無變化</v>
      </c>
    </row>
    <row r="114">
      <c r="A114" s="9" t="inlineStr">
        <is>
          <t>GU-22</t>
        </is>
      </c>
      <c r="B114" s="9" t="inlineStr">
        <is>
          <t>60227H059E</t>
        </is>
      </c>
      <c r="C114" s="9" t="inlineStr">
        <is>
          <t>Woven</t>
        </is>
      </c>
      <c r="D114" s="17" t="n">
        <v>3377</v>
      </c>
      <c r="E114" s="17" t="n">
        <v>3377</v>
      </c>
      <c r="F114" s="17">
        <f>E114-D114</f>
        <v>0</v>
      </c>
      <c r="G114" s="18">
        <f>IFERROR(F114/D114,"")</f>
        <v>0.0</v>
      </c>
      <c r="H114" s="9" t="str">
        <f>IF(D114=0,"新增",IF(E114=0,"消失",IF(F114&gt;0,"增加",IF(F114&lt;0,"減少","無變化"))))</f>
        <v>無變化</v>
      </c>
    </row>
    <row r="115">
      <c r="A115" s="9" t="inlineStr">
        <is>
          <t>GU-22</t>
        </is>
      </c>
      <c r="B115" s="9" t="inlineStr">
        <is>
          <t>60227H059F</t>
        </is>
      </c>
      <c r="C115" s="9" t="inlineStr">
        <is>
          <t>Woven</t>
        </is>
      </c>
      <c r="D115" s="17" t="n">
        <v>6640</v>
      </c>
      <c r="E115" s="17" t="n">
        <v>6640</v>
      </c>
      <c r="F115" s="17">
        <f>E115-D115</f>
        <v>0</v>
      </c>
      <c r="G115" s="18">
        <f>IFERROR(F115/D115,"")</f>
        <v>0.0</v>
      </c>
      <c r="H115" s="9" t="str">
        <f>IF(D115=0,"新增",IF(E115=0,"消失",IF(F115&gt;0,"增加",IF(F115&lt;0,"減少","無變化"))))</f>
        <v>無變化</v>
      </c>
    </row>
    <row r="116">
      <c r="A116" s="9" t="inlineStr">
        <is>
          <t>GU-22</t>
        </is>
      </c>
      <c r="B116" s="9" t="inlineStr">
        <is>
          <t>60227H059G</t>
        </is>
      </c>
      <c r="C116" s="9" t="inlineStr">
        <is>
          <t>Woven</t>
        </is>
      </c>
      <c r="D116" s="17" t="n">
        <v>13124</v>
      </c>
      <c r="E116" s="17" t="n">
        <v>13124</v>
      </c>
      <c r="F116" s="17">
        <f>E116-D116</f>
        <v>0</v>
      </c>
      <c r="G116" s="18">
        <f>IFERROR(F116/D116,"")</f>
        <v>0.0</v>
      </c>
      <c r="H116" s="9" t="str">
        <f>IF(D116=0,"新增",IF(E116=0,"消失",IF(F116&gt;0,"增加",IF(F116&lt;0,"減少","無變化"))))</f>
        <v>無變化</v>
      </c>
    </row>
    <row r="117">
      <c r="A117" s="9" t="inlineStr">
        <is>
          <t>GU-22</t>
        </is>
      </c>
      <c r="B117" s="9" t="inlineStr">
        <is>
          <t>60227H068A</t>
        </is>
      </c>
      <c r="C117" s="9" t="inlineStr">
        <is>
          <t>Woven</t>
        </is>
      </c>
      <c r="D117" s="17" t="n">
        <v>12669</v>
      </c>
      <c r="E117" s="17" t="n">
        <v>12669</v>
      </c>
      <c r="F117" s="17">
        <f>E117-D117</f>
        <v>0</v>
      </c>
      <c r="G117" s="18">
        <f>IFERROR(F117/D117,"")</f>
        <v>0.0</v>
      </c>
      <c r="H117" s="9" t="str">
        <f>IF(D117=0,"新增",IF(E117=0,"消失",IF(F117&gt;0,"增加",IF(F117&lt;0,"減少","無變化"))))</f>
        <v>無變化</v>
      </c>
    </row>
    <row r="118">
      <c r="A118" s="9" t="inlineStr">
        <is>
          <t>GU-22</t>
        </is>
      </c>
      <c r="B118" s="9" t="inlineStr">
        <is>
          <t>60227H071A</t>
        </is>
      </c>
      <c r="C118" s="9" t="inlineStr">
        <is>
          <t>Woven</t>
        </is>
      </c>
      <c r="D118" s="17" t="n">
        <v>30000</v>
      </c>
      <c r="E118" s="17" t="n">
        <v>30000</v>
      </c>
      <c r="F118" s="17">
        <f>E118-D118</f>
        <v>0</v>
      </c>
      <c r="G118" s="18">
        <f>IFERROR(F118/D118,"")</f>
        <v>0.0</v>
      </c>
      <c r="H118" s="9" t="str">
        <f>IF(D118=0,"新增",IF(E118=0,"消失",IF(F118&gt;0,"增加",IF(F118&lt;0,"減少","無變化"))))</f>
        <v>無變化</v>
      </c>
    </row>
    <row r="119">
      <c r="A119" s="9" t="inlineStr">
        <is>
          <t>GU-22</t>
        </is>
      </c>
      <c r="B119" s="9" t="inlineStr">
        <is>
          <t>60227H073A</t>
        </is>
      </c>
      <c r="C119" s="9" t="inlineStr">
        <is>
          <t>Woven</t>
        </is>
      </c>
      <c r="D119" s="17" t="n">
        <v>3417</v>
      </c>
      <c r="E119" s="17" t="n">
        <v>3417</v>
      </c>
      <c r="F119" s="17">
        <f>E119-D119</f>
        <v>0</v>
      </c>
      <c r="G119" s="18">
        <f>IFERROR(F119/D119,"")</f>
        <v>0.0</v>
      </c>
      <c r="H119" s="9" t="str">
        <f>IF(D119=0,"新增",IF(E119=0,"消失",IF(F119&gt;0,"增加",IF(F119&lt;0,"減少","無變化"))))</f>
        <v>無變化</v>
      </c>
    </row>
    <row r="120">
      <c r="A120" s="9" t="inlineStr">
        <is>
          <t>GU-22</t>
        </is>
      </c>
      <c r="B120" s="9" t="inlineStr">
        <is>
          <t>Buffer</t>
        </is>
      </c>
      <c r="C120" s="9" t="inlineStr">
        <is>
          <t>Woven</t>
        </is>
      </c>
      <c r="D120" s="17" t="n">
        <v>102009</v>
      </c>
      <c r="E120" s="17" t="n">
        <v>102009</v>
      </c>
      <c r="F120" s="17">
        <f>E120-D120</f>
        <v>0</v>
      </c>
      <c r="G120" s="18">
        <f>IFERROR(F120/D120,"")</f>
        <v>0.0</v>
      </c>
      <c r="H120" s="9" t="str">
        <f>IF(D120=0,"新增",IF(E120=0,"消失",IF(F120&gt;0,"增加",IF(F120&lt;0,"減少","無變化"))))</f>
        <v>無變化</v>
      </c>
    </row>
    <row r="121">
      <c r="A121" s="9" t="inlineStr">
        <is>
          <t>GU-22</t>
        </is>
      </c>
      <c r="B121" s="9" t="inlineStr">
        <is>
          <t>buffer</t>
        </is>
      </c>
      <c r="C121" s="9" t="inlineStr">
        <is>
          <t>Woven</t>
        </is>
      </c>
      <c r="D121" s="17" t="n">
        <v>31584</v>
      </c>
      <c r="E121" s="17" t="n">
        <v>31584</v>
      </c>
      <c r="F121" s="17">
        <f>E121-D121</f>
        <v>0</v>
      </c>
      <c r="G121" s="18">
        <f>IFERROR(F121/D121,"")</f>
        <v>0.0</v>
      </c>
      <c r="H121" s="9" t="str">
        <f>IF(D121=0,"新增",IF(E121=0,"消失",IF(F121&gt;0,"增加",IF(F121&lt;0,"減少","無變化"))))</f>
        <v>無變化</v>
      </c>
    </row>
    <row r="122">
      <c r="A122" s="9" t="inlineStr">
        <is>
          <t>GU-22</t>
        </is>
      </c>
      <c r="B122" s="9" t="inlineStr">
        <is>
          <t>60226F051F</t>
        </is>
      </c>
      <c r="C122" s="9" t="inlineStr">
        <is>
          <t>Woven</t>
        </is>
      </c>
      <c r="D122" s="17" t="n">
        <v>1028</v>
      </c>
      <c r="E122" s="17" t="n">
        <v>1029</v>
      </c>
      <c r="F122" s="17">
        <f>E122-D122</f>
        <v>1</v>
      </c>
      <c r="G122" s="18">
        <f>IFERROR(F122/D122,"")</f>
        <v>0.0009727626</v>
      </c>
      <c r="H122" s="9" t="str">
        <f>IF(D122=0,"新增",IF(E122=0,"消失",IF(F122&gt;0,"增加",IF(F122&lt;0,"減少","無變化"))))</f>
        <v>增加</v>
      </c>
    </row>
    <row r="123">
      <c r="A123" s="9" t="inlineStr">
        <is>
          <t>GU-22</t>
        </is>
      </c>
      <c r="B123" s="9" t="inlineStr">
        <is>
          <t>60226N030B</t>
        </is>
      </c>
      <c r="C123" s="9" t="inlineStr">
        <is>
          <t>Woven</t>
        </is>
      </c>
      <c r="D123" s="17" t="n">
        <v>19592</v>
      </c>
      <c r="E123" s="17" t="n">
        <v>19594</v>
      </c>
      <c r="F123" s="17">
        <f>E123-D123</f>
        <v>2</v>
      </c>
      <c r="G123" s="18">
        <f>IFERROR(F123/D123,"")</f>
        <v>0.0001020825</v>
      </c>
      <c r="H123" s="9" t="str">
        <f>IF(D123=0,"新增",IF(E123=0,"消失",IF(F123&gt;0,"增加",IF(F123&lt;0,"減少","無變化"))))</f>
        <v>增加</v>
      </c>
    </row>
    <row r="124">
      <c r="A124" s="9" t="inlineStr">
        <is>
          <t>GU-22</t>
        </is>
      </c>
      <c r="B124" s="9" t="inlineStr">
        <is>
          <t>60226F031A</t>
        </is>
      </c>
      <c r="C124" s="9" t="inlineStr">
        <is>
          <t>Woven</t>
        </is>
      </c>
      <c r="D124" s="17" t="n">
        <v>17436</v>
      </c>
      <c r="E124" s="17" t="n">
        <v>17442</v>
      </c>
      <c r="F124" s="17">
        <f>E124-D124</f>
        <v>6</v>
      </c>
      <c r="G124" s="18">
        <f>IFERROR(F124/D124,"")</f>
        <v>0.0003441156</v>
      </c>
      <c r="H124" s="9" t="str">
        <f>IF(D124=0,"新增",IF(E124=0,"消失",IF(F124&gt;0,"增加",IF(F124&lt;0,"減少","無變化"))))</f>
        <v>增加</v>
      </c>
    </row>
    <row r="125">
      <c r="A125" s="9" t="inlineStr">
        <is>
          <t>GU-22</t>
        </is>
      </c>
      <c r="B125" s="9" t="inlineStr">
        <is>
          <t>60227N002A</t>
        </is>
      </c>
      <c r="C125" s="9" t="inlineStr">
        <is>
          <t>Woven</t>
        </is>
      </c>
      <c r="D125" s="17" t="n">
        <v>24000</v>
      </c>
      <c r="E125" s="17" t="n">
        <v>24007</v>
      </c>
      <c r="F125" s="17">
        <f>E125-D125</f>
        <v>7</v>
      </c>
      <c r="G125" s="18">
        <f>IFERROR(F125/D125,"")</f>
        <v>0.0002916667</v>
      </c>
      <c r="H125" s="9" t="str">
        <f>IF(D125=0,"新增",IF(E125=0,"消失",IF(F125&gt;0,"增加",IF(F125&lt;0,"減少","無變化"))))</f>
        <v>增加</v>
      </c>
    </row>
    <row r="126">
      <c r="A126" s="9" t="inlineStr">
        <is>
          <t>GU-22</t>
        </is>
      </c>
      <c r="B126" s="9" t="inlineStr">
        <is>
          <t>60226F034A</t>
        </is>
      </c>
      <c r="C126" s="9" t="inlineStr">
        <is>
          <t>Woven</t>
        </is>
      </c>
      <c r="D126" s="17" t="n">
        <v>11374</v>
      </c>
      <c r="E126" s="17" t="n">
        <v>11383</v>
      </c>
      <c r="F126" s="17">
        <f>E126-D126</f>
        <v>9</v>
      </c>
      <c r="G126" s="18">
        <f>IFERROR(F126/D126,"")</f>
        <v>0.0007912784</v>
      </c>
      <c r="H126" s="9" t="str">
        <f>IF(D126=0,"新增",IF(E126=0,"消失",IF(F126&gt;0,"增加",IF(F126&lt;0,"減少","無變化"))))</f>
        <v>增加</v>
      </c>
    </row>
    <row r="127">
      <c r="A127" s="9" t="inlineStr">
        <is>
          <t>GU-22</t>
        </is>
      </c>
      <c r="B127" s="9" t="inlineStr">
        <is>
          <t>60226N033A</t>
        </is>
      </c>
      <c r="C127" s="9" t="inlineStr">
        <is>
          <t>Woven</t>
        </is>
      </c>
      <c r="D127" s="17" t="n">
        <v>38994</v>
      </c>
      <c r="E127" s="17" t="n">
        <v>39006</v>
      </c>
      <c r="F127" s="17">
        <f>E127-D127</f>
        <v>12</v>
      </c>
      <c r="G127" s="18">
        <f>IFERROR(F127/D127,"")</f>
        <v>0.0003077397</v>
      </c>
      <c r="H127" s="9" t="str">
        <f>IF(D127=0,"新增",IF(E127=0,"消失",IF(F127&gt;0,"增加",IF(F127&lt;0,"減少","無變化"))))</f>
        <v>增加</v>
      </c>
    </row>
    <row r="128">
      <c r="A128" s="9" t="inlineStr">
        <is>
          <t>GU-22</t>
        </is>
      </c>
      <c r="B128" s="9" t="inlineStr">
        <is>
          <t>60226F081A</t>
        </is>
      </c>
      <c r="C128" s="9" t="inlineStr">
        <is>
          <t>Woven</t>
        </is>
      </c>
      <c r="D128" s="17" t="n">
        <v>16840</v>
      </c>
      <c r="E128" s="17" t="n">
        <v>16862</v>
      </c>
      <c r="F128" s="17">
        <f>E128-D128</f>
        <v>22</v>
      </c>
      <c r="G128" s="18">
        <f>IFERROR(F128/D128,"")</f>
        <v>0.0013064133</v>
      </c>
      <c r="H128" s="9" t="str">
        <f>IF(D128=0,"新增",IF(E128=0,"消失",IF(F128&gt;0,"增加",IF(F128&lt;0,"減少","無變化"))))</f>
        <v>增加</v>
      </c>
    </row>
    <row r="129">
      <c r="A129" s="9" t="inlineStr">
        <is>
          <t>GU-22</t>
        </is>
      </c>
      <c r="B129" s="9" t="inlineStr">
        <is>
          <t>60226N030C</t>
        </is>
      </c>
      <c r="C129" s="9" t="inlineStr">
        <is>
          <t>Woven</t>
        </is>
      </c>
      <c r="D129" s="17" t="n">
        <v>20103</v>
      </c>
      <c r="E129" s="17" t="n">
        <v>20132</v>
      </c>
      <c r="F129" s="17">
        <f>E129-D129</f>
        <v>29</v>
      </c>
      <c r="G129" s="18">
        <f>IFERROR(F129/D129,"")</f>
        <v>0.0014425708</v>
      </c>
      <c r="H129" s="9" t="str">
        <f>IF(D129=0,"新增",IF(E129=0,"消失",IF(F129&gt;0,"增加",IF(F129&lt;0,"減少","無變化"))))</f>
        <v>增加</v>
      </c>
    </row>
    <row r="130">
      <c r="A130" s="9" t="inlineStr">
        <is>
          <t>GU-22</t>
        </is>
      </c>
      <c r="B130" s="9" t="inlineStr">
        <is>
          <t>60226F024A</t>
        </is>
      </c>
      <c r="C130" s="9" t="inlineStr">
        <is>
          <t>Woven</t>
        </is>
      </c>
      <c r="D130" s="17" t="n">
        <v>6699</v>
      </c>
      <c r="E130" s="17" t="n">
        <v>6741</v>
      </c>
      <c r="F130" s="17">
        <f>E130-D130</f>
        <v>42</v>
      </c>
      <c r="G130" s="18">
        <f>IFERROR(F130/D130,"")</f>
        <v>0.0062695925</v>
      </c>
      <c r="H130" s="9" t="str">
        <f>IF(D130=0,"新增",IF(E130=0,"消失",IF(F130&gt;0,"增加",IF(F130&lt;0,"減少","無變化"))))</f>
        <v>增加</v>
      </c>
    </row>
    <row r="131">
      <c r="A131" s="9" t="inlineStr">
        <is>
          <t>GU-22</t>
        </is>
      </c>
      <c r="B131" s="9" t="inlineStr">
        <is>
          <t>60226F069G</t>
        </is>
      </c>
      <c r="C131" s="9" t="inlineStr">
        <is>
          <t>Woven</t>
        </is>
      </c>
      <c r="D131" s="17" t="n">
        <v>4677</v>
      </c>
      <c r="E131" s="17" t="n">
        <v>4776</v>
      </c>
      <c r="F131" s="17">
        <f>E131-D131</f>
        <v>99</v>
      </c>
      <c r="G131" s="18">
        <f>IFERROR(F131/D131,"")</f>
        <v>0.021167415</v>
      </c>
      <c r="H131" s="9" t="str">
        <f>IF(D131=0,"新增",IF(E131=0,"消失",IF(F131&gt;0,"增加",IF(F131&lt;0,"減少","無變化"))))</f>
        <v>增加</v>
      </c>
    </row>
    <row r="132">
      <c r="A132" s="9" t="inlineStr">
        <is>
          <t>GU-22</t>
        </is>
      </c>
      <c r="B132" s="9" t="inlineStr">
        <is>
          <t>60226F051A</t>
        </is>
      </c>
      <c r="C132" s="9" t="inlineStr">
        <is>
          <t>Woven</t>
        </is>
      </c>
      <c r="D132" s="17" t="n">
        <v>17338</v>
      </c>
      <c r="E132" s="17" t="n">
        <v>17524</v>
      </c>
      <c r="F132" s="17">
        <f>E132-D132</f>
        <v>186</v>
      </c>
      <c r="G132" s="18">
        <f>IFERROR(F132/D132,"")</f>
        <v>0.010727881</v>
      </c>
      <c r="H132" s="9" t="str">
        <f>IF(D132=0,"新增",IF(E132=0,"消失",IF(F132&gt;0,"增加",IF(F132&lt;0,"減少","無變化"))))</f>
        <v>增加</v>
      </c>
    </row>
    <row r="133">
      <c r="A133" s="9" t="inlineStr">
        <is>
          <t>GU-22</t>
        </is>
      </c>
      <c r="B133" s="9" t="inlineStr">
        <is>
          <t>60227H059A</t>
        </is>
      </c>
      <c r="C133" s="9" t="inlineStr">
        <is>
          <t>Woven</t>
        </is>
      </c>
      <c r="D133" s="17" t="n">
        <v>63228</v>
      </c>
      <c r="E133" s="17" t="n">
        <v>63828</v>
      </c>
      <c r="F133" s="17">
        <f>E133-D133</f>
        <v>600</v>
      </c>
      <c r="G133" s="18">
        <f>IFERROR(F133/D133,"")</f>
        <v>0.0094894667</v>
      </c>
      <c r="H133" s="9" t="str">
        <f>IF(D133=0,"新增",IF(E133=0,"消失",IF(F133&gt;0,"增加",IF(F133&lt;0,"減少","無變化"))))</f>
        <v>增加</v>
      </c>
    </row>
    <row r="134">
      <c r="A134" s="9" t="inlineStr">
        <is>
          <t>GU-22</t>
        </is>
      </c>
      <c r="B134" s="9" t="inlineStr">
        <is>
          <t>60226F064B</t>
        </is>
      </c>
      <c r="C134" s="9" t="inlineStr">
        <is>
          <t>Woven</t>
        </is>
      </c>
      <c r="D134" s="17" t="n">
        <v>2974</v>
      </c>
      <c r="E134" s="17" t="n">
        <v>3616</v>
      </c>
      <c r="F134" s="17">
        <f>E134-D134</f>
        <v>642</v>
      </c>
      <c r="G134" s="18">
        <f>IFERROR(F134/D134,"")</f>
        <v>0.215870881</v>
      </c>
      <c r="H134" s="9" t="str">
        <f>IF(D134=0,"新增",IF(E134=0,"消失",IF(F134&gt;0,"增加",IF(F134&lt;0,"減少","無變化"))))</f>
        <v>增加</v>
      </c>
    </row>
    <row r="135">
      <c r="A135" s="9" t="inlineStr">
        <is>
          <t>GU-22</t>
        </is>
      </c>
      <c r="B135" s="9" t="inlineStr">
        <is>
          <t>60227H012A</t>
        </is>
      </c>
      <c r="C135" s="9" t="inlineStr">
        <is>
          <t>Woven</t>
        </is>
      </c>
      <c r="D135" s="17" t="n">
        <v>0</v>
      </c>
      <c r="E135" s="17" t="n">
        <v>810</v>
      </c>
      <c r="F135" s="17">
        <f>E135-D135</f>
        <v>810</v>
      </c>
      <c r="G135" s="18">
        <f>IFERROR(F135/D135,"")</f>
        <v/>
      </c>
      <c r="H135" s="9" t="str">
        <f>IF(D135=0,"新增",IF(E135=0,"消失",IF(F135&gt;0,"增加",IF(F135&lt;0,"減少","無變化"))))</f>
        <v>新增</v>
      </c>
    </row>
    <row r="136">
      <c r="A136" s="9" t="inlineStr">
        <is>
          <t>GU-22</t>
        </is>
      </c>
      <c r="B136" s="9" t="inlineStr">
        <is>
          <t>60226N035B</t>
        </is>
      </c>
      <c r="C136" s="9" t="inlineStr">
        <is>
          <t>Woven</t>
        </is>
      </c>
      <c r="D136" s="17" t="n">
        <v>0</v>
      </c>
      <c r="E136" s="17" t="n">
        <v>952</v>
      </c>
      <c r="F136" s="17">
        <f>E136-D136</f>
        <v>952</v>
      </c>
      <c r="G136" s="18">
        <f>IFERROR(F136/D136,"")</f>
        <v/>
      </c>
      <c r="H136" s="9" t="str">
        <f>IF(D136=0,"新增",IF(E136=0,"消失",IF(F136&gt;0,"增加",IF(F136&lt;0,"減少","無變化"))))</f>
        <v>新增</v>
      </c>
    </row>
    <row r="137">
      <c r="A137" s="9" t="inlineStr">
        <is>
          <t>GU-22</t>
        </is>
      </c>
      <c r="B137" s="9" t="inlineStr">
        <is>
          <t>60226F064A</t>
        </is>
      </c>
      <c r="C137" s="9" t="inlineStr">
        <is>
          <t>Woven</t>
        </is>
      </c>
      <c r="D137" s="17" t="n">
        <v>8250</v>
      </c>
      <c r="E137" s="17" t="n">
        <v>9926</v>
      </c>
      <c r="F137" s="17">
        <f>E137-D137</f>
        <v>1676</v>
      </c>
      <c r="G137" s="18">
        <f>IFERROR(F137/D137,"")</f>
        <v>0.2031515152</v>
      </c>
      <c r="H137" s="9" t="str">
        <f>IF(D137=0,"新增",IF(E137=0,"消失",IF(F137&gt;0,"增加",IF(F137&lt;0,"減少","無變化"))))</f>
        <v>增加</v>
      </c>
    </row>
    <row r="138">
      <c r="A138" s="9" t="inlineStr">
        <is>
          <t>GU-22</t>
        </is>
      </c>
      <c r="B138" s="9" t="inlineStr">
        <is>
          <t>60227H062A</t>
        </is>
      </c>
      <c r="C138" s="9" t="inlineStr">
        <is>
          <t>Woven</t>
        </is>
      </c>
      <c r="D138" s="17" t="n">
        <v>63038</v>
      </c>
      <c r="E138" s="17" t="n">
        <v>65279</v>
      </c>
      <c r="F138" s="17">
        <f>E138-D138</f>
        <v>2241</v>
      </c>
      <c r="G138" s="18">
        <f>IFERROR(F138/D138,"")</f>
        <v>0.0355499857</v>
      </c>
      <c r="H138" s="9" t="str">
        <f>IF(D138=0,"新增",IF(E138=0,"消失",IF(F138&gt;0,"增加",IF(F138&lt;0,"減少","無變化"))))</f>
        <v>增加</v>
      </c>
    </row>
    <row r="139">
      <c r="A139" s="9" t="inlineStr">
        <is>
          <t>GU-22</t>
        </is>
      </c>
      <c r="B139" s="9" t="inlineStr">
        <is>
          <t>60227N014A</t>
        </is>
      </c>
      <c r="C139" s="9" t="inlineStr">
        <is>
          <t>Woven</t>
        </is>
      </c>
      <c r="D139" s="17" t="n">
        <v>0</v>
      </c>
      <c r="E139" s="17" t="n">
        <v>2480</v>
      </c>
      <c r="F139" s="17">
        <f>E139-D139</f>
        <v>2480</v>
      </c>
      <c r="G139" s="18">
        <f>IFERROR(F139/D139,"")</f>
        <v/>
      </c>
      <c r="H139" s="9" t="str">
        <f>IF(D139=0,"新增",IF(E139=0,"消失",IF(F139&gt;0,"增加",IF(F139&lt;0,"減少","無變化"))))</f>
        <v>新增</v>
      </c>
    </row>
    <row r="140">
      <c r="A140" s="9" t="inlineStr">
        <is>
          <t>GU-22</t>
        </is>
      </c>
      <c r="B140" s="9" t="inlineStr">
        <is>
          <t>60227H026B</t>
        </is>
      </c>
      <c r="C140" s="9" t="inlineStr">
        <is>
          <t>Woven</t>
        </is>
      </c>
      <c r="D140" s="17" t="n">
        <v>4388</v>
      </c>
      <c r="E140" s="17" t="n">
        <v>7963</v>
      </c>
      <c r="F140" s="17">
        <f>E140-D140</f>
        <v>3575</v>
      </c>
      <c r="G140" s="18">
        <f>IFERROR(F140/D140,"")</f>
        <v>0.814721969</v>
      </c>
      <c r="H140" s="9" t="str">
        <f>IF(D140=0,"新增",IF(E140=0,"消失",IF(F140&gt;0,"增加",IF(F140&lt;0,"減少","無變化"))))</f>
        <v>增加</v>
      </c>
    </row>
    <row r="141">
      <c r="A141" s="9" t="inlineStr">
        <is>
          <t>GU-22</t>
        </is>
      </c>
      <c r="B141" s="9" t="inlineStr">
        <is>
          <t>60227N007O</t>
        </is>
      </c>
      <c r="C141" s="9" t="inlineStr">
        <is>
          <t>Woven</t>
        </is>
      </c>
      <c r="D141" s="17" t="n">
        <v>0</v>
      </c>
      <c r="E141" s="17" t="n">
        <v>4439</v>
      </c>
      <c r="F141" s="17">
        <f>E141-D141</f>
        <v>4439</v>
      </c>
      <c r="G141" s="18">
        <f>IFERROR(F141/D141,"")</f>
        <v/>
      </c>
      <c r="H141" s="9" t="str">
        <f>IF(D141=0,"新增",IF(E141=0,"消失",IF(F141&gt;0,"增加",IF(F141&lt;0,"減少","無變化"))))</f>
        <v>新增</v>
      </c>
    </row>
    <row r="142">
      <c r="A142" s="9" t="inlineStr">
        <is>
          <t>GU-22</t>
        </is>
      </c>
      <c r="B142" s="9" t="inlineStr">
        <is>
          <t>60227N005A</t>
        </is>
      </c>
      <c r="C142" s="9" t="inlineStr">
        <is>
          <t>Woven</t>
        </is>
      </c>
      <c r="D142" s="17" t="n">
        <v>15908</v>
      </c>
      <c r="E142" s="17" t="n">
        <v>25173</v>
      </c>
      <c r="F142" s="17">
        <f>E142-D142</f>
        <v>9265</v>
      </c>
      <c r="G142" s="18">
        <f>IFERROR(F142/D142,"")</f>
        <v>0.5824113654</v>
      </c>
      <c r="H142" s="9" t="str">
        <f>IF(D142=0,"新增",IF(E142=0,"消失",IF(F142&gt;0,"增加",IF(F142&lt;0,"減少","無變化"))))</f>
        <v>增加</v>
      </c>
    </row>
    <row r="143">
      <c r="A143" s="9" t="inlineStr">
        <is>
          <t>GU-22</t>
        </is>
      </c>
      <c r="B143" s="9" t="inlineStr">
        <is>
          <t>60227N007C</t>
        </is>
      </c>
      <c r="C143" s="9" t="inlineStr">
        <is>
          <t>Woven</t>
        </is>
      </c>
      <c r="D143" s="17" t="n">
        <v>41746</v>
      </c>
      <c r="E143" s="17" t="n">
        <v>57299</v>
      </c>
      <c r="F143" s="17">
        <f>E143-D143</f>
        <v>15553</v>
      </c>
      <c r="G143" s="18">
        <f>IFERROR(F143/D143,"")</f>
        <v>0.3725626407</v>
      </c>
      <c r="H143" s="9" t="str">
        <f>IF(D143=0,"新增",IF(E143=0,"消失",IF(F143&gt;0,"增加",IF(F143&lt;0,"減少","無變化"))))</f>
        <v>增加</v>
      </c>
    </row>
    <row r="144">
      <c r="A144" s="9" t="inlineStr">
        <is>
          <t>GU-23</t>
        </is>
      </c>
      <c r="B144" s="9" t="inlineStr">
        <is>
          <t>60236N057A</t>
        </is>
      </c>
      <c r="C144" s="9" t="inlineStr">
        <is>
          <t>Woven</t>
        </is>
      </c>
      <c r="D144" s="17" t="n">
        <v>36364</v>
      </c>
      <c r="E144" s="17" t="n">
        <v>0</v>
      </c>
      <c r="F144" s="17">
        <f>E144-D144</f>
        <v>-36364</v>
      </c>
      <c r="G144" s="18">
        <f>IFERROR(F144/D144,"")</f>
        <v>-1.0</v>
      </c>
      <c r="H144" s="9" t="str">
        <f>IF(D144=0,"新增",IF(E144=0,"消失",IF(F144&gt;0,"增加",IF(F144&lt;0,"減少","無變化"))))</f>
        <v>消失</v>
      </c>
    </row>
    <row r="145">
      <c r="A145" s="9" t="inlineStr">
        <is>
          <t>GU-23</t>
        </is>
      </c>
      <c r="B145" s="9" t="inlineStr">
        <is>
          <t>60237N046A</t>
        </is>
      </c>
      <c r="C145" s="9" t="inlineStr">
        <is>
          <t>Woven</t>
        </is>
      </c>
      <c r="D145" s="17" t="n">
        <v>23336</v>
      </c>
      <c r="E145" s="17" t="n">
        <v>0</v>
      </c>
      <c r="F145" s="17">
        <f>E145-D145</f>
        <v>-23336</v>
      </c>
      <c r="G145" s="18">
        <f>IFERROR(F145/D145,"")</f>
        <v>-1.0</v>
      </c>
      <c r="H145" s="9" t="str">
        <f>IF(D145=0,"新增",IF(E145=0,"消失",IF(F145&gt;0,"增加",IF(F145&lt;0,"減少","無變化"))))</f>
        <v>消失</v>
      </c>
    </row>
    <row r="146">
      <c r="A146" s="9" t="inlineStr">
        <is>
          <t>GU-23</t>
        </is>
      </c>
      <c r="B146" s="9" t="inlineStr">
        <is>
          <t>60237N018A</t>
        </is>
      </c>
      <c r="C146" s="9" t="inlineStr">
        <is>
          <t>Woven</t>
        </is>
      </c>
      <c r="D146" s="17" t="n">
        <v>4916</v>
      </c>
      <c r="E146" s="17" t="n">
        <v>1936</v>
      </c>
      <c r="F146" s="17">
        <f>E146-D146</f>
        <v>-2980</v>
      </c>
      <c r="G146" s="18">
        <f>IFERROR(F146/D146,"")</f>
        <v>-0.6061838893</v>
      </c>
      <c r="H146" s="9" t="str">
        <f>IF(D146=0,"新增",IF(E146=0,"消失",IF(F146&gt;0,"增加",IF(F146&lt;0,"減少","無變化"))))</f>
        <v>減少</v>
      </c>
    </row>
    <row r="147">
      <c r="A147" s="9" t="inlineStr">
        <is>
          <t>GU-23</t>
        </is>
      </c>
      <c r="B147" s="9" t="inlineStr">
        <is>
          <t>60237H010A</t>
        </is>
      </c>
      <c r="C147" s="9" t="inlineStr">
        <is>
          <t>Woven</t>
        </is>
      </c>
      <c r="D147" s="17" t="n">
        <v>15305</v>
      </c>
      <c r="E147" s="17" t="n">
        <v>13547</v>
      </c>
      <c r="F147" s="17">
        <f>E147-D147</f>
        <v>-1758</v>
      </c>
      <c r="G147" s="18">
        <f>IFERROR(F147/D147,"")</f>
        <v>-0.1148644234</v>
      </c>
      <c r="H147" s="9" t="str">
        <f>IF(D147=0,"新增",IF(E147=0,"消失",IF(F147&gt;0,"增加",IF(F147&lt;0,"減少","無變化"))))</f>
        <v>減少</v>
      </c>
    </row>
    <row r="148">
      <c r="A148" s="9" t="inlineStr">
        <is>
          <t>GU-23</t>
        </is>
      </c>
      <c r="B148" s="9" t="inlineStr">
        <is>
          <t>60237H004A</t>
        </is>
      </c>
      <c r="C148" s="9" t="inlineStr">
        <is>
          <t>Woven</t>
        </is>
      </c>
      <c r="D148" s="17" t="n">
        <v>22741</v>
      </c>
      <c r="E148" s="17" t="n">
        <v>21667</v>
      </c>
      <c r="F148" s="17">
        <f>E148-D148</f>
        <v>-1074</v>
      </c>
      <c r="G148" s="18">
        <f>IFERROR(F148/D148,"")</f>
        <v>-0.0472274746</v>
      </c>
      <c r="H148" s="9" t="str">
        <f>IF(D148=0,"新增",IF(E148=0,"消失",IF(F148&gt;0,"增加",IF(F148&lt;0,"減少","無變化"))))</f>
        <v>減少</v>
      </c>
    </row>
    <row r="149">
      <c r="A149" s="9" t="inlineStr">
        <is>
          <t>GU-23</t>
        </is>
      </c>
      <c r="B149" s="9" t="inlineStr">
        <is>
          <t>60236F014A</t>
        </is>
      </c>
      <c r="C149" s="9" t="inlineStr">
        <is>
          <t>Woven</t>
        </is>
      </c>
      <c r="D149" s="17" t="n">
        <v>21560</v>
      </c>
      <c r="E149" s="17" t="n">
        <v>21441</v>
      </c>
      <c r="F149" s="17">
        <f>E149-D149</f>
        <v>-119</v>
      </c>
      <c r="G149" s="18">
        <f>IFERROR(F149/D149,"")</f>
        <v>-0.0055194805</v>
      </c>
      <c r="H149" s="9" t="str">
        <f>IF(D149=0,"新增",IF(E149=0,"消失",IF(F149&gt;0,"增加",IF(F149&lt;0,"減少","無變化"))))</f>
        <v>減少</v>
      </c>
    </row>
    <row r="150">
      <c r="A150" s="9" t="inlineStr">
        <is>
          <t>GU-23</t>
        </is>
      </c>
      <c r="B150" s="9" t="inlineStr">
        <is>
          <t>60237N054A</t>
        </is>
      </c>
      <c r="C150" s="9" t="inlineStr">
        <is>
          <t>Woven</t>
        </is>
      </c>
      <c r="D150" s="17" t="n">
        <v>1479</v>
      </c>
      <c r="E150" s="17" t="n">
        <v>1458</v>
      </c>
      <c r="F150" s="17">
        <f>E150-D150</f>
        <v>-21</v>
      </c>
      <c r="G150" s="18">
        <f>IFERROR(F150/D150,"")</f>
        <v>-0.014198783</v>
      </c>
      <c r="H150" s="9" t="str">
        <f>IF(D150=0,"新增",IF(E150=0,"消失",IF(F150&gt;0,"增加",IF(F150&lt;0,"減少","無變化"))))</f>
        <v>減少</v>
      </c>
    </row>
    <row r="151">
      <c r="A151" s="9" t="inlineStr">
        <is>
          <t>GU-23</t>
        </is>
      </c>
      <c r="B151" s="9" t="inlineStr">
        <is>
          <t>60236F007A</t>
        </is>
      </c>
      <c r="C151" s="9" t="inlineStr">
        <is>
          <t>Woven</t>
        </is>
      </c>
      <c r="D151" s="17" t="n">
        <v>9359</v>
      </c>
      <c r="E151" s="17" t="n">
        <v>9359</v>
      </c>
      <c r="F151" s="17">
        <f>E151-D151</f>
        <v>0</v>
      </c>
      <c r="G151" s="18">
        <f>IFERROR(F151/D151,"")</f>
        <v>0.0</v>
      </c>
      <c r="H151" s="9" t="str">
        <f>IF(D151=0,"新增",IF(E151=0,"消失",IF(F151&gt;0,"增加",IF(F151&lt;0,"減少","無變化"))))</f>
        <v>無變化</v>
      </c>
    </row>
    <row r="152">
      <c r="A152" s="9" t="inlineStr">
        <is>
          <t>GU-23</t>
        </is>
      </c>
      <c r="B152" s="9" t="inlineStr">
        <is>
          <t>60236F007D</t>
        </is>
      </c>
      <c r="C152" s="9" t="inlineStr">
        <is>
          <t>Woven</t>
        </is>
      </c>
      <c r="D152" s="17" t="n">
        <v>3538</v>
      </c>
      <c r="E152" s="17" t="n">
        <v>3538</v>
      </c>
      <c r="F152" s="17">
        <f>E152-D152</f>
        <v>0</v>
      </c>
      <c r="G152" s="18">
        <f>IFERROR(F152/D152,"")</f>
        <v>0.0</v>
      </c>
      <c r="H152" s="9" t="str">
        <f>IF(D152=0,"新增",IF(E152=0,"消失",IF(F152&gt;0,"增加",IF(F152&lt;0,"減少","無變化"))))</f>
        <v>無變化</v>
      </c>
    </row>
    <row r="153">
      <c r="A153" s="9" t="inlineStr">
        <is>
          <t>GU-23</t>
        </is>
      </c>
      <c r="B153" s="9" t="inlineStr">
        <is>
          <t>60236F014B</t>
        </is>
      </c>
      <c r="C153" s="9" t="inlineStr">
        <is>
          <t>Woven</t>
        </is>
      </c>
      <c r="D153" s="17" t="n">
        <v>10574</v>
      </c>
      <c r="E153" s="17" t="n">
        <v>10574</v>
      </c>
      <c r="F153" s="17">
        <f>E153-D153</f>
        <v>0</v>
      </c>
      <c r="G153" s="18">
        <f>IFERROR(F153/D153,"")</f>
        <v>0.0</v>
      </c>
      <c r="H153" s="9" t="str">
        <f>IF(D153=0,"新增",IF(E153=0,"消失",IF(F153&gt;0,"增加",IF(F153&lt;0,"減少","無變化"))))</f>
        <v>無變化</v>
      </c>
    </row>
    <row r="154">
      <c r="A154" s="9" t="inlineStr">
        <is>
          <t>GU-23</t>
        </is>
      </c>
      <c r="B154" s="9" t="inlineStr">
        <is>
          <t>60236F025A</t>
        </is>
      </c>
      <c r="C154" s="9" t="inlineStr">
        <is>
          <t>Woven</t>
        </is>
      </c>
      <c r="D154" s="17" t="n">
        <v>490</v>
      </c>
      <c r="E154" s="17" t="n">
        <v>490</v>
      </c>
      <c r="F154" s="17">
        <f>E154-D154</f>
        <v>0</v>
      </c>
      <c r="G154" s="18">
        <f>IFERROR(F154/D154,"")</f>
        <v>0.0</v>
      </c>
      <c r="H154" s="9" t="str">
        <f>IF(D154=0,"新增",IF(E154=0,"消失",IF(F154&gt;0,"增加",IF(F154&lt;0,"減少","無變化"))))</f>
        <v>無變化</v>
      </c>
    </row>
    <row r="155">
      <c r="A155" s="9" t="inlineStr">
        <is>
          <t>GU-23</t>
        </is>
      </c>
      <c r="B155" s="9" t="inlineStr">
        <is>
          <t>60236F058A</t>
        </is>
      </c>
      <c r="C155" s="9" t="inlineStr">
        <is>
          <t>Woven</t>
        </is>
      </c>
      <c r="D155" s="17" t="n">
        <v>21</v>
      </c>
      <c r="E155" s="17" t="n">
        <v>21</v>
      </c>
      <c r="F155" s="17">
        <f>E155-D155</f>
        <v>0</v>
      </c>
      <c r="G155" s="18">
        <f>IFERROR(F155/D155,"")</f>
        <v>0.0</v>
      </c>
      <c r="H155" s="9" t="str">
        <f>IF(D155=0,"新增",IF(E155=0,"消失",IF(F155&gt;0,"增加",IF(F155&lt;0,"減少","無變化"))))</f>
        <v>無變化</v>
      </c>
    </row>
    <row r="156">
      <c r="A156" s="9" t="inlineStr">
        <is>
          <t>GU-23</t>
        </is>
      </c>
      <c r="B156" s="9" t="inlineStr">
        <is>
          <t>60236F062G</t>
        </is>
      </c>
      <c r="C156" s="9" t="inlineStr">
        <is>
          <t>Woven</t>
        </is>
      </c>
      <c r="D156" s="17" t="n">
        <v>6108</v>
      </c>
      <c r="E156" s="17" t="n">
        <v>6108</v>
      </c>
      <c r="F156" s="17">
        <f>E156-D156</f>
        <v>0</v>
      </c>
      <c r="G156" s="18">
        <f>IFERROR(F156/D156,"")</f>
        <v>0.0</v>
      </c>
      <c r="H156" s="9" t="str">
        <f>IF(D156=0,"新增",IF(E156=0,"消失",IF(F156&gt;0,"增加",IF(F156&lt;0,"減少","無變化"))))</f>
        <v>無變化</v>
      </c>
    </row>
    <row r="157">
      <c r="A157" s="9" t="inlineStr">
        <is>
          <t>GU-23</t>
        </is>
      </c>
      <c r="B157" s="9" t="inlineStr">
        <is>
          <t>60237H002D</t>
        </is>
      </c>
      <c r="C157" s="9" t="inlineStr">
        <is>
          <t>Woven</t>
        </is>
      </c>
      <c r="D157" s="17" t="n">
        <v>11181</v>
      </c>
      <c r="E157" s="17" t="n">
        <v>11181</v>
      </c>
      <c r="F157" s="17">
        <f>E157-D157</f>
        <v>0</v>
      </c>
      <c r="G157" s="18">
        <f>IFERROR(F157/D157,"")</f>
        <v>0.0</v>
      </c>
      <c r="H157" s="9" t="str">
        <f>IF(D157=0,"新增",IF(E157=0,"消失",IF(F157&gt;0,"增加",IF(F157&lt;0,"減少","無變化"))))</f>
        <v>無變化</v>
      </c>
    </row>
    <row r="158">
      <c r="A158" s="9" t="inlineStr">
        <is>
          <t>GU-23</t>
        </is>
      </c>
      <c r="B158" s="9" t="inlineStr">
        <is>
          <t>60237H008C</t>
        </is>
      </c>
      <c r="C158" s="9" t="inlineStr">
        <is>
          <t>Woven</t>
        </is>
      </c>
      <c r="D158" s="17" t="n">
        <v>1398</v>
      </c>
      <c r="E158" s="17" t="n">
        <v>1398</v>
      </c>
      <c r="F158" s="17">
        <f>E158-D158</f>
        <v>0</v>
      </c>
      <c r="G158" s="18">
        <f>IFERROR(F158/D158,"")</f>
        <v>0.0</v>
      </c>
      <c r="H158" s="9" t="str">
        <f>IF(D158=0,"新增",IF(E158=0,"消失",IF(F158&gt;0,"增加",IF(F158&lt;0,"減少","無變化"))))</f>
        <v>無變化</v>
      </c>
    </row>
    <row r="159">
      <c r="A159" s="9" t="inlineStr">
        <is>
          <t>GU-23</t>
        </is>
      </c>
      <c r="B159" s="9" t="inlineStr">
        <is>
          <t>60236F003D</t>
        </is>
      </c>
      <c r="C159" s="9" t="inlineStr">
        <is>
          <t>Woven</t>
        </is>
      </c>
      <c r="D159" s="17" t="n">
        <v>13851</v>
      </c>
      <c r="E159" s="17" t="n">
        <v>13852</v>
      </c>
      <c r="F159" s="17">
        <f>E159-D159</f>
        <v>1</v>
      </c>
      <c r="G159" s="18">
        <f>IFERROR(F159/D159,"")</f>
        <v>7.2197e-05</v>
      </c>
      <c r="H159" s="9" t="str">
        <f>IF(D159=0,"新增",IF(E159=0,"消失",IF(F159&gt;0,"增加",IF(F159&lt;0,"減少","無變化"))))</f>
        <v>增加</v>
      </c>
    </row>
    <row r="160">
      <c r="A160" s="9" t="inlineStr">
        <is>
          <t>GU-23</t>
        </is>
      </c>
      <c r="B160" s="9" t="inlineStr">
        <is>
          <t>60236F015A</t>
        </is>
      </c>
      <c r="C160" s="9" t="inlineStr">
        <is>
          <t>Woven</t>
        </is>
      </c>
      <c r="D160" s="17" t="n">
        <v>5345</v>
      </c>
      <c r="E160" s="17" t="n">
        <v>5347</v>
      </c>
      <c r="F160" s="17">
        <f>E160-D160</f>
        <v>2</v>
      </c>
      <c r="G160" s="18">
        <f>IFERROR(F160/D160,"")</f>
        <v>0.0003741815</v>
      </c>
      <c r="H160" s="9" t="str">
        <f>IF(D160=0,"新增",IF(E160=0,"消失",IF(F160&gt;0,"增加",IF(F160&lt;0,"減少","無變化"))))</f>
        <v>增加</v>
      </c>
    </row>
    <row r="161">
      <c r="A161" s="9" t="inlineStr">
        <is>
          <t>GU-23</t>
        </is>
      </c>
      <c r="B161" s="9" t="inlineStr">
        <is>
          <t>60237N031A</t>
        </is>
      </c>
      <c r="C161" s="9" t="inlineStr">
        <is>
          <t>Woven</t>
        </is>
      </c>
      <c r="D161" s="17" t="n">
        <v>1192</v>
      </c>
      <c r="E161" s="17" t="n">
        <v>1451</v>
      </c>
      <c r="F161" s="17">
        <f>E161-D161</f>
        <v>259</v>
      </c>
      <c r="G161" s="18">
        <f>IFERROR(F161/D161,"")</f>
        <v>0.2172818792</v>
      </c>
      <c r="H161" s="9" t="str">
        <f>IF(D161=0,"新增",IF(E161=0,"消失",IF(F161&gt;0,"增加",IF(F161&lt;0,"減少","無變化"))))</f>
        <v>增加</v>
      </c>
    </row>
    <row r="162">
      <c r="A162" s="9" t="inlineStr">
        <is>
          <t>GU-23</t>
        </is>
      </c>
      <c r="B162" s="9" t="inlineStr">
        <is>
          <t>60237N015C</t>
        </is>
      </c>
      <c r="C162" s="9" t="inlineStr">
        <is>
          <t>Woven</t>
        </is>
      </c>
      <c r="D162" s="17" t="n">
        <v>0</v>
      </c>
      <c r="E162" s="17" t="n">
        <v>322</v>
      </c>
      <c r="F162" s="17">
        <f>E162-D162</f>
        <v>322</v>
      </c>
      <c r="G162" s="18">
        <f>IFERROR(F162/D162,"")</f>
        <v/>
      </c>
      <c r="H162" s="9" t="str">
        <f>IF(D162=0,"新增",IF(E162=0,"消失",IF(F162&gt;0,"增加",IF(F162&lt;0,"減少","無變化"))))</f>
        <v>新增</v>
      </c>
    </row>
    <row r="163">
      <c r="A163" s="9" t="inlineStr">
        <is>
          <t>GU-23</t>
        </is>
      </c>
      <c r="B163" s="9" t="inlineStr">
        <is>
          <t>60237H005A</t>
        </is>
      </c>
      <c r="C163" s="9" t="inlineStr">
        <is>
          <t>Woven</t>
        </is>
      </c>
      <c r="D163" s="17" t="n">
        <v>27977</v>
      </c>
      <c r="E163" s="17" t="n">
        <v>28422</v>
      </c>
      <c r="F163" s="17">
        <f>E163-D163</f>
        <v>445</v>
      </c>
      <c r="G163" s="18">
        <f>IFERROR(F163/D163,"")</f>
        <v>0.0159059227</v>
      </c>
      <c r="H163" s="9" t="str">
        <f>IF(D163=0,"新增",IF(E163=0,"消失",IF(F163&gt;0,"增加",IF(F163&lt;0,"減少","無變化"))))</f>
        <v>增加</v>
      </c>
    </row>
    <row r="164">
      <c r="A164" s="9" t="inlineStr">
        <is>
          <t>GU-23</t>
        </is>
      </c>
      <c r="B164" s="9" t="inlineStr">
        <is>
          <t>60237N006B</t>
        </is>
      </c>
      <c r="C164" s="9" t="inlineStr">
        <is>
          <t>Woven</t>
        </is>
      </c>
      <c r="D164" s="17" t="n">
        <v>0</v>
      </c>
      <c r="E164" s="17" t="n">
        <v>1199</v>
      </c>
      <c r="F164" s="17">
        <f>E164-D164</f>
        <v>1199</v>
      </c>
      <c r="G164" s="18">
        <f>IFERROR(F164/D164,"")</f>
        <v/>
      </c>
      <c r="H164" s="9" t="str">
        <f>IF(D164=0,"新增",IF(E164=0,"消失",IF(F164&gt;0,"增加",IF(F164&lt;0,"減少","無變化"))))</f>
        <v>新增</v>
      </c>
    </row>
    <row r="165">
      <c r="A165" s="9" t="inlineStr">
        <is>
          <t>GU-23</t>
        </is>
      </c>
      <c r="B165" s="9" t="inlineStr">
        <is>
          <t>60237N053A</t>
        </is>
      </c>
      <c r="C165" s="9" t="inlineStr">
        <is>
          <t>Woven</t>
        </is>
      </c>
      <c r="D165" s="17" t="n">
        <v>20520</v>
      </c>
      <c r="E165" s="17" t="n">
        <v>25020</v>
      </c>
      <c r="F165" s="17">
        <f>E165-D165</f>
        <v>4500</v>
      </c>
      <c r="G165" s="18">
        <f>IFERROR(F165/D165,"")</f>
        <v>0.2192982456</v>
      </c>
      <c r="H165" s="9" t="str">
        <f>IF(D165=0,"新增",IF(E165=0,"消失",IF(F165&gt;0,"增加",IF(F165&lt;0,"減少","無變化"))))</f>
        <v>增加</v>
      </c>
    </row>
    <row r="166">
      <c r="A166" s="9" t="inlineStr">
        <is>
          <t>GU-23</t>
        </is>
      </c>
      <c r="B166" s="9" t="inlineStr">
        <is>
          <t>60237N007A</t>
        </is>
      </c>
      <c r="C166" s="9" t="inlineStr">
        <is>
          <t>Woven</t>
        </is>
      </c>
      <c r="D166" s="17" t="n">
        <v>14802</v>
      </c>
      <c r="E166" s="17" t="n">
        <v>20451</v>
      </c>
      <c r="F166" s="17">
        <f>E166-D166</f>
        <v>5649</v>
      </c>
      <c r="G166" s="18">
        <f>IFERROR(F166/D166,"")</f>
        <v>0.3816376165</v>
      </c>
      <c r="H166" s="9" t="str">
        <f>IF(D166=0,"新增",IF(E166=0,"消失",IF(F166&gt;0,"增加",IF(F166&lt;0,"減少","無變化"))))</f>
        <v>增加</v>
      </c>
    </row>
    <row r="167">
      <c r="A167" s="9" t="inlineStr">
        <is>
          <t>GU-23</t>
        </is>
      </c>
      <c r="B167" s="9" t="inlineStr">
        <is>
          <t>60237N057A</t>
        </is>
      </c>
      <c r="C167" s="9" t="inlineStr">
        <is>
          <t>Woven</t>
        </is>
      </c>
      <c r="D167" s="17" t="n">
        <v>10036</v>
      </c>
      <c r="E167" s="17" t="n">
        <v>31651</v>
      </c>
      <c r="F167" s="17">
        <f>E167-D167</f>
        <v>21615</v>
      </c>
      <c r="G167" s="18">
        <f>IFERROR(F167/D167,"")</f>
        <v>2.1537465126</v>
      </c>
      <c r="H167" s="9" t="str">
        <f>IF(D167=0,"新增",IF(E167=0,"消失",IF(F167&gt;0,"增加",IF(F167&lt;0,"減少","無變化"))))</f>
        <v>增加</v>
      </c>
    </row>
    <row r="168">
      <c r="A168" s="9" t="inlineStr">
        <is>
          <t>GU-27</t>
        </is>
      </c>
      <c r="B168" s="9" t="inlineStr">
        <is>
          <t>60277H118A</t>
        </is>
      </c>
      <c r="C168" s="9" t="inlineStr">
        <is>
          <t>Knit</t>
        </is>
      </c>
      <c r="D168" s="17" t="n">
        <v>51257</v>
      </c>
      <c r="E168" s="17" t="n">
        <v>51224</v>
      </c>
      <c r="F168" s="17">
        <f>E168-D168</f>
        <v>-33</v>
      </c>
      <c r="G168" s="18">
        <f>IFERROR(F168/D168,"")</f>
        <v>-0.0006438145</v>
      </c>
      <c r="H168" s="9" t="str">
        <f>IF(D168=0,"新增",IF(E168=0,"消失",IF(F168&gt;0,"增加",IF(F168&lt;0,"減少","無變化"))))</f>
        <v>減少</v>
      </c>
    </row>
    <row r="169">
      <c r="A169" s="9" t="inlineStr">
        <is>
          <t>GU-27</t>
        </is>
      </c>
      <c r="B169" s="9" t="inlineStr">
        <is>
          <t>60276F138B</t>
        </is>
      </c>
      <c r="C169" s="9" t="inlineStr">
        <is>
          <t>Knit</t>
        </is>
      </c>
      <c r="D169" s="17" t="n">
        <v>49942</v>
      </c>
      <c r="E169" s="17" t="n">
        <v>49942</v>
      </c>
      <c r="F169" s="17">
        <f>E169-D169</f>
        <v>0</v>
      </c>
      <c r="G169" s="18">
        <f>IFERROR(F169/D169,"")</f>
        <v>0.0</v>
      </c>
      <c r="H169" s="9" t="str">
        <f>IF(D169=0,"新增",IF(E169=0,"消失",IF(F169&gt;0,"增加",IF(F169&lt;0,"減少","無變化"))))</f>
        <v>無變化</v>
      </c>
    </row>
    <row r="170">
      <c r="A170" s="9" t="inlineStr">
        <is>
          <t>GU-27</t>
        </is>
      </c>
      <c r="B170" s="9" t="inlineStr">
        <is>
          <t>60276F152A</t>
        </is>
      </c>
      <c r="C170" s="9" t="inlineStr">
        <is>
          <t>Knit</t>
        </is>
      </c>
      <c r="D170" s="17" t="n">
        <v>2500</v>
      </c>
      <c r="E170" s="17" t="n">
        <v>2500</v>
      </c>
      <c r="F170" s="17">
        <f>E170-D170</f>
        <v>0</v>
      </c>
      <c r="G170" s="18">
        <f>IFERROR(F170/D170,"")</f>
        <v>0.0</v>
      </c>
      <c r="H170" s="9" t="str">
        <f>IF(D170=0,"新增",IF(E170=0,"消失",IF(F170&gt;0,"增加",IF(F170&lt;0,"減少","無變化"))))</f>
        <v>無變化</v>
      </c>
    </row>
    <row r="171">
      <c r="A171" s="9" t="inlineStr">
        <is>
          <t>GU-27</t>
        </is>
      </c>
      <c r="B171" s="9" t="inlineStr">
        <is>
          <t>60276H126A</t>
        </is>
      </c>
      <c r="C171" s="9" t="inlineStr">
        <is>
          <t>Knit</t>
        </is>
      </c>
      <c r="D171" s="17" t="n">
        <v>2567</v>
      </c>
      <c r="E171" s="17" t="n">
        <v>2567</v>
      </c>
      <c r="F171" s="17">
        <f>E171-D171</f>
        <v>0</v>
      </c>
      <c r="G171" s="18">
        <f>IFERROR(F171/D171,"")</f>
        <v>0.0</v>
      </c>
      <c r="H171" s="9" t="str">
        <f>IF(D171=0,"新增",IF(E171=0,"消失",IF(F171&gt;0,"增加",IF(F171&lt;0,"減少","無變化"))))</f>
        <v>無變化</v>
      </c>
    </row>
    <row r="172">
      <c r="A172" s="9" t="inlineStr">
        <is>
          <t>GU-27</t>
        </is>
      </c>
      <c r="B172" s="9" t="inlineStr">
        <is>
          <t>60276N033A</t>
        </is>
      </c>
      <c r="C172" s="9" t="inlineStr">
        <is>
          <t>Knit</t>
        </is>
      </c>
      <c r="D172" s="17" t="n">
        <v>2044</v>
      </c>
      <c r="E172" s="17" t="n">
        <v>2044</v>
      </c>
      <c r="F172" s="17">
        <f>E172-D172</f>
        <v>0</v>
      </c>
      <c r="G172" s="18">
        <f>IFERROR(F172/D172,"")</f>
        <v>0.0</v>
      </c>
      <c r="H172" s="9" t="str">
        <f>IF(D172=0,"新增",IF(E172=0,"消失",IF(F172&gt;0,"增加",IF(F172&lt;0,"減少","無變化"))))</f>
        <v>無變化</v>
      </c>
    </row>
    <row r="173">
      <c r="A173" s="9" t="inlineStr">
        <is>
          <t>GU-27</t>
        </is>
      </c>
      <c r="B173" s="9" t="inlineStr">
        <is>
          <t>60277H126A</t>
        </is>
      </c>
      <c r="C173" s="9" t="inlineStr">
        <is>
          <t>Knit</t>
        </is>
      </c>
      <c r="D173" s="17" t="n">
        <v>1834</v>
      </c>
      <c r="E173" s="17" t="n">
        <v>1834</v>
      </c>
      <c r="F173" s="17">
        <f>E173-D173</f>
        <v>0</v>
      </c>
      <c r="G173" s="18">
        <f>IFERROR(F173/D173,"")</f>
        <v>0.0</v>
      </c>
      <c r="H173" s="9" t="str">
        <f>IF(D173=0,"新增",IF(E173=0,"消失",IF(F173&gt;0,"增加",IF(F173&lt;0,"減少","無變化"))))</f>
        <v>無變化</v>
      </c>
    </row>
    <row r="174">
      <c r="A174" s="9" t="inlineStr">
        <is>
          <t>GU-27</t>
        </is>
      </c>
      <c r="B174" s="9" t="inlineStr">
        <is>
          <t>60277N099A</t>
        </is>
      </c>
      <c r="C174" s="9" t="inlineStr">
        <is>
          <t>Knit</t>
        </is>
      </c>
      <c r="D174" s="17" t="n">
        <v>7881</v>
      </c>
      <c r="E174" s="17" t="n">
        <v>7881</v>
      </c>
      <c r="F174" s="17">
        <f>E174-D174</f>
        <v>0</v>
      </c>
      <c r="G174" s="18">
        <f>IFERROR(F174/D174,"")</f>
        <v>0.0</v>
      </c>
      <c r="H174" s="9" t="str">
        <f>IF(D174=0,"新增",IF(E174=0,"消失",IF(F174&gt;0,"增加",IF(F174&lt;0,"減少","無變化"))))</f>
        <v>無變化</v>
      </c>
    </row>
    <row r="175">
      <c r="A175" s="9" t="inlineStr">
        <is>
          <t>GU-27</t>
        </is>
      </c>
      <c r="B175" s="9" t="inlineStr">
        <is>
          <t>60277N103A</t>
        </is>
      </c>
      <c r="C175" s="9" t="inlineStr">
        <is>
          <t>Knit</t>
        </is>
      </c>
      <c r="D175" s="17" t="n">
        <v>1324</v>
      </c>
      <c r="E175" s="17" t="n">
        <v>1324</v>
      </c>
      <c r="F175" s="17">
        <f>E175-D175</f>
        <v>0</v>
      </c>
      <c r="G175" s="18">
        <f>IFERROR(F175/D175,"")</f>
        <v>0.0</v>
      </c>
      <c r="H175" s="9" t="str">
        <f>IF(D175=0,"新增",IF(E175=0,"消失",IF(F175&gt;0,"增加",IF(F175&lt;0,"減少","無變化"))))</f>
        <v>無變化</v>
      </c>
    </row>
    <row r="176">
      <c r="A176" s="9" t="inlineStr">
        <is>
          <t>GU-27</t>
        </is>
      </c>
      <c r="B176" s="9" t="inlineStr">
        <is>
          <t>60276F008A</t>
        </is>
      </c>
      <c r="C176" s="9" t="inlineStr">
        <is>
          <t>Woven</t>
        </is>
      </c>
      <c r="D176" s="17" t="n">
        <v>2943</v>
      </c>
      <c r="E176" s="17" t="n">
        <v>2982</v>
      </c>
      <c r="F176" s="17">
        <f>E176-D176</f>
        <v>39</v>
      </c>
      <c r="G176" s="18">
        <f>IFERROR(F176/D176,"")</f>
        <v>0.0132517839</v>
      </c>
      <c r="H176" s="9" t="str">
        <f>IF(D176=0,"新增",IF(E176=0,"消失",IF(F176&gt;0,"增加",IF(F176&lt;0,"減少","無變化"))))</f>
        <v>增加</v>
      </c>
    </row>
    <row r="177">
      <c r="A177" s="9" t="inlineStr">
        <is>
          <t>GU-27</t>
        </is>
      </c>
      <c r="B177" s="9" t="inlineStr">
        <is>
          <t>60277N090A</t>
        </is>
      </c>
      <c r="C177" s="9" t="inlineStr">
        <is>
          <t>Knit</t>
        </is>
      </c>
      <c r="D177" s="17" t="n">
        <v>30193</v>
      </c>
      <c r="E177" s="17" t="n">
        <v>30827</v>
      </c>
      <c r="F177" s="17">
        <f>E177-D177</f>
        <v>634</v>
      </c>
      <c r="G177" s="18">
        <f>IFERROR(F177/D177,"")</f>
        <v>0.0209982446</v>
      </c>
      <c r="H177" s="9" t="str">
        <f>IF(D177=0,"新增",IF(E177=0,"消失",IF(F177&gt;0,"增加",IF(F177&lt;0,"減少","無變化"))))</f>
        <v>增加</v>
      </c>
    </row>
    <row r="178">
      <c r="A178" s="9" t="inlineStr">
        <is>
          <t>GU-32</t>
        </is>
      </c>
      <c r="B178" s="9" t="inlineStr">
        <is>
          <t>60327H024A</t>
        </is>
      </c>
      <c r="C178" s="9" t="inlineStr">
        <is>
          <t>Woven</t>
        </is>
      </c>
      <c r="D178" s="17" t="n">
        <v>76692</v>
      </c>
      <c r="E178" s="17" t="n">
        <v>63908</v>
      </c>
      <c r="F178" s="17">
        <f>E178-D178</f>
        <v>-12784</v>
      </c>
      <c r="G178" s="18">
        <f>IFERROR(F178/D178,"")</f>
        <v>-0.166692745</v>
      </c>
      <c r="H178" s="9" t="str">
        <f>IF(D178=0,"新增",IF(E178=0,"消失",IF(F178&gt;0,"增加",IF(F178&lt;0,"減少","無變化"))))</f>
        <v>減少</v>
      </c>
    </row>
    <row r="179">
      <c r="A179" s="9" t="inlineStr">
        <is>
          <t>GU-32</t>
        </is>
      </c>
      <c r="B179" s="9" t="inlineStr">
        <is>
          <t>60327H098B</t>
        </is>
      </c>
      <c r="C179" s="9" t="inlineStr">
        <is>
          <t>Woven</t>
        </is>
      </c>
      <c r="D179" s="17" t="n">
        <v>11187</v>
      </c>
      <c r="E179" s="17" t="n">
        <v>0</v>
      </c>
      <c r="F179" s="17">
        <f>E179-D179</f>
        <v>-11187</v>
      </c>
      <c r="G179" s="18">
        <f>IFERROR(F179/D179,"")</f>
        <v>-1.0</v>
      </c>
      <c r="H179" s="9" t="str">
        <f>IF(D179=0,"新增",IF(E179=0,"消失",IF(F179&gt;0,"增加",IF(F179&lt;0,"減少","無變化"))))</f>
        <v>消失</v>
      </c>
    </row>
    <row r="180">
      <c r="A180" s="9" t="inlineStr">
        <is>
          <t>GU-32</t>
        </is>
      </c>
      <c r="B180" s="9" t="inlineStr">
        <is>
          <t>60327H051A</t>
        </is>
      </c>
      <c r="C180" s="9" t="inlineStr">
        <is>
          <t>Woven</t>
        </is>
      </c>
      <c r="D180" s="17" t="n">
        <v>91817</v>
      </c>
      <c r="E180" s="17" t="n">
        <v>86590</v>
      </c>
      <c r="F180" s="17">
        <f>E180-D180</f>
        <v>-5227</v>
      </c>
      <c r="G180" s="18">
        <f>IFERROR(F180/D180,"")</f>
        <v>-0.0569284555</v>
      </c>
      <c r="H180" s="9" t="str">
        <f>IF(D180=0,"新增",IF(E180=0,"消失",IF(F180&gt;0,"增加",IF(F180&lt;0,"減少","無變化"))))</f>
        <v>減少</v>
      </c>
    </row>
    <row r="181">
      <c r="A181" s="9" t="inlineStr">
        <is>
          <t>GU-32</t>
        </is>
      </c>
      <c r="B181" s="9" t="inlineStr">
        <is>
          <t>60327N064A</t>
        </is>
      </c>
      <c r="C181" s="9" t="inlineStr">
        <is>
          <t>Woven</t>
        </is>
      </c>
      <c r="D181" s="17" t="n">
        <v>18444</v>
      </c>
      <c r="E181" s="17" t="n">
        <v>13611</v>
      </c>
      <c r="F181" s="17">
        <f>E181-D181</f>
        <v>-4833</v>
      </c>
      <c r="G181" s="18">
        <f>IFERROR(F181/D181,"")</f>
        <v>-0.2620364346</v>
      </c>
      <c r="H181" s="9" t="str">
        <f>IF(D181=0,"新增",IF(E181=0,"消失",IF(F181&gt;0,"增加",IF(F181&lt;0,"減少","無變化"))))</f>
        <v>減少</v>
      </c>
    </row>
    <row r="182">
      <c r="A182" s="9" t="inlineStr">
        <is>
          <t>GU-32</t>
        </is>
      </c>
      <c r="B182" s="9" t="inlineStr">
        <is>
          <t>60326F051C</t>
        </is>
      </c>
      <c r="C182" s="9" t="inlineStr">
        <is>
          <t>Woven</t>
        </is>
      </c>
      <c r="D182" s="17" t="n">
        <v>13253</v>
      </c>
      <c r="E182" s="17" t="n">
        <v>8589</v>
      </c>
      <c r="F182" s="17">
        <f>E182-D182</f>
        <v>-4664</v>
      </c>
      <c r="G182" s="18">
        <f>IFERROR(F182/D182,"")</f>
        <v>-0.3519203199</v>
      </c>
      <c r="H182" s="9" t="str">
        <f>IF(D182=0,"新增",IF(E182=0,"消失",IF(F182&gt;0,"增加",IF(F182&lt;0,"減少","無變化"))))</f>
        <v>減少</v>
      </c>
    </row>
    <row r="183">
      <c r="A183" s="9" t="inlineStr">
        <is>
          <t>GU-32</t>
        </is>
      </c>
      <c r="B183" s="9" t="inlineStr">
        <is>
          <t>60327H055A</t>
        </is>
      </c>
      <c r="C183" s="9" t="inlineStr">
        <is>
          <t>Woven</t>
        </is>
      </c>
      <c r="D183" s="17" t="n">
        <v>56750</v>
      </c>
      <c r="E183" s="17" t="n">
        <v>54307</v>
      </c>
      <c r="F183" s="17">
        <f>E183-D183</f>
        <v>-2443</v>
      </c>
      <c r="G183" s="18">
        <f>IFERROR(F183/D183,"")</f>
        <v>-0.0430484581</v>
      </c>
      <c r="H183" s="9" t="str">
        <f>IF(D183=0,"新增",IF(E183=0,"消失",IF(F183&gt;0,"增加",IF(F183&lt;0,"減少","無變化"))))</f>
        <v>減少</v>
      </c>
    </row>
    <row r="184">
      <c r="A184" s="9" t="inlineStr">
        <is>
          <t>GU-32</t>
        </is>
      </c>
      <c r="B184" s="9" t="inlineStr">
        <is>
          <t>60327H092A</t>
        </is>
      </c>
      <c r="C184" s="9" t="inlineStr">
        <is>
          <t>Woven</t>
        </is>
      </c>
      <c r="D184" s="17" t="n">
        <v>5086</v>
      </c>
      <c r="E184" s="17" t="n">
        <v>2689</v>
      </c>
      <c r="F184" s="17">
        <f>E184-D184</f>
        <v>-2397</v>
      </c>
      <c r="G184" s="18">
        <f>IFERROR(F184/D184,"")</f>
        <v>-0.4712937475</v>
      </c>
      <c r="H184" s="9" t="str">
        <f>IF(D184=0,"新增",IF(E184=0,"消失",IF(F184&gt;0,"增加",IF(F184&lt;0,"減少","無變化"))))</f>
        <v>減少</v>
      </c>
    </row>
    <row r="185">
      <c r="A185" s="9" t="inlineStr">
        <is>
          <t>GU-32</t>
        </is>
      </c>
      <c r="B185" s="9" t="inlineStr">
        <is>
          <t>60327H055D</t>
        </is>
      </c>
      <c r="C185" s="9" t="inlineStr">
        <is>
          <t>Woven</t>
        </is>
      </c>
      <c r="D185" s="17" t="n">
        <v>30163</v>
      </c>
      <c r="E185" s="17" t="n">
        <v>30097</v>
      </c>
      <c r="F185" s="17">
        <f>E185-D185</f>
        <v>-66</v>
      </c>
      <c r="G185" s="18">
        <f>IFERROR(F185/D185,"")</f>
        <v>-0.0021881113</v>
      </c>
      <c r="H185" s="9" t="str">
        <f>IF(D185=0,"新增",IF(E185=0,"消失",IF(F185&gt;0,"增加",IF(F185&lt;0,"減少","無變化"))))</f>
        <v>減少</v>
      </c>
    </row>
    <row r="186">
      <c r="A186" s="9" t="inlineStr">
        <is>
          <t>GU-32</t>
        </is>
      </c>
      <c r="B186" s="9" t="inlineStr">
        <is>
          <t>60326F065A</t>
        </is>
      </c>
      <c r="C186" s="9" t="inlineStr">
        <is>
          <t>Woven</t>
        </is>
      </c>
      <c r="D186" s="17" t="n">
        <v>20319</v>
      </c>
      <c r="E186" s="17" t="n">
        <v>20290</v>
      </c>
      <c r="F186" s="17">
        <f>E186-D186</f>
        <v>-29</v>
      </c>
      <c r="G186" s="18">
        <f>IFERROR(F186/D186,"")</f>
        <v>-0.0014272356</v>
      </c>
      <c r="H186" s="9" t="str">
        <f>IF(D186=0,"新增",IF(E186=0,"消失",IF(F186&gt;0,"增加",IF(F186&lt;0,"減少","無變化"))))</f>
        <v>減少</v>
      </c>
    </row>
    <row r="187">
      <c r="A187" s="9" t="inlineStr">
        <is>
          <t>GU-32</t>
        </is>
      </c>
      <c r="B187" s="9" t="inlineStr">
        <is>
          <t>60326F051D</t>
        </is>
      </c>
      <c r="C187" s="9" t="inlineStr">
        <is>
          <t>Woven</t>
        </is>
      </c>
      <c r="D187" s="17" t="n">
        <v>597</v>
      </c>
      <c r="E187" s="17" t="n">
        <v>597</v>
      </c>
      <c r="F187" s="17">
        <f>E187-D187</f>
        <v>0</v>
      </c>
      <c r="G187" s="18">
        <f>IFERROR(F187/D187,"")</f>
        <v>0.0</v>
      </c>
      <c r="H187" s="9" t="str">
        <f>IF(D187=0,"新增",IF(E187=0,"消失",IF(F187&gt;0,"增加",IF(F187&lt;0,"減少","無變化"))))</f>
        <v>無變化</v>
      </c>
    </row>
    <row r="188">
      <c r="A188" s="9" t="inlineStr">
        <is>
          <t>GU-32</t>
        </is>
      </c>
      <c r="B188" s="9" t="inlineStr">
        <is>
          <t>60326F051F</t>
        </is>
      </c>
      <c r="C188" s="9" t="inlineStr">
        <is>
          <t>Woven</t>
        </is>
      </c>
      <c r="D188" s="17" t="n">
        <v>180</v>
      </c>
      <c r="E188" s="17" t="n">
        <v>180</v>
      </c>
      <c r="F188" s="17">
        <f>E188-D188</f>
        <v>0</v>
      </c>
      <c r="G188" s="18">
        <f>IFERROR(F188/D188,"")</f>
        <v>0.0</v>
      </c>
      <c r="H188" s="9" t="str">
        <f>IF(D188=0,"新增",IF(E188=0,"消失",IF(F188&gt;0,"增加",IF(F188&lt;0,"減少","無變化"))))</f>
        <v>無變化</v>
      </c>
    </row>
    <row r="189">
      <c r="A189" s="9" t="inlineStr">
        <is>
          <t>GU-32</t>
        </is>
      </c>
      <c r="B189" s="9" t="inlineStr">
        <is>
          <t>60326F065B</t>
        </is>
      </c>
      <c r="C189" s="9" t="inlineStr">
        <is>
          <t>Woven</t>
        </is>
      </c>
      <c r="D189" s="17" t="n">
        <v>263</v>
      </c>
      <c r="E189" s="17" t="n">
        <v>263</v>
      </c>
      <c r="F189" s="17">
        <f>E189-D189</f>
        <v>0</v>
      </c>
      <c r="G189" s="18">
        <f>IFERROR(F189/D189,"")</f>
        <v>0.0</v>
      </c>
      <c r="H189" s="9" t="str">
        <f>IF(D189=0,"新增",IF(E189=0,"消失",IF(F189&gt;0,"增加",IF(F189&lt;0,"減少","無變化"))))</f>
        <v>無變化</v>
      </c>
    </row>
    <row r="190">
      <c r="A190" s="9" t="inlineStr">
        <is>
          <t>GU-32</t>
        </is>
      </c>
      <c r="B190" s="9" t="inlineStr">
        <is>
          <t>60326F073B</t>
        </is>
      </c>
      <c r="C190" s="9" t="inlineStr">
        <is>
          <t>Woven</t>
        </is>
      </c>
      <c r="D190" s="17" t="n">
        <v>518</v>
      </c>
      <c r="E190" s="17" t="n">
        <v>518</v>
      </c>
      <c r="F190" s="17">
        <f>E190-D190</f>
        <v>0</v>
      </c>
      <c r="G190" s="18">
        <f>IFERROR(F190/D190,"")</f>
        <v>0.0</v>
      </c>
      <c r="H190" s="9" t="str">
        <f>IF(D190=0,"新增",IF(E190=0,"消失",IF(F190&gt;0,"增加",IF(F190&lt;0,"減少","無變化"))))</f>
        <v>無變化</v>
      </c>
    </row>
    <row r="191">
      <c r="A191" s="9" t="inlineStr">
        <is>
          <t>GU-32</t>
        </is>
      </c>
      <c r="B191" s="9" t="inlineStr">
        <is>
          <t>60326F073C</t>
        </is>
      </c>
      <c r="C191" s="9" t="inlineStr">
        <is>
          <t>Woven</t>
        </is>
      </c>
      <c r="D191" s="17" t="n">
        <v>762</v>
      </c>
      <c r="E191" s="17" t="n">
        <v>762</v>
      </c>
      <c r="F191" s="17">
        <f>E191-D191</f>
        <v>0</v>
      </c>
      <c r="G191" s="18">
        <f>IFERROR(F191/D191,"")</f>
        <v>0.0</v>
      </c>
      <c r="H191" s="9" t="str">
        <f>IF(D191=0,"新增",IF(E191=0,"消失",IF(F191&gt;0,"增加",IF(F191&lt;0,"減少","無變化"))))</f>
        <v>無變化</v>
      </c>
    </row>
    <row r="192">
      <c r="A192" s="9" t="inlineStr">
        <is>
          <t>GU-32</t>
        </is>
      </c>
      <c r="B192" s="9" t="inlineStr">
        <is>
          <t>60326F078A</t>
        </is>
      </c>
      <c r="C192" s="9" t="inlineStr">
        <is>
          <t>Knit</t>
        </is>
      </c>
      <c r="D192" s="17" t="n">
        <v>17616</v>
      </c>
      <c r="E192" s="17" t="n">
        <v>17616</v>
      </c>
      <c r="F192" s="17">
        <f>E192-D192</f>
        <v>0</v>
      </c>
      <c r="G192" s="18">
        <f>IFERROR(F192/D192,"")</f>
        <v>0.0</v>
      </c>
      <c r="H192" s="9" t="str">
        <f>IF(D192=0,"新增",IF(E192=0,"消失",IF(F192&gt;0,"增加",IF(F192&lt;0,"減少","無變化"))))</f>
        <v>無變化</v>
      </c>
    </row>
    <row r="193">
      <c r="A193" s="9" t="inlineStr">
        <is>
          <t>GU-32</t>
        </is>
      </c>
      <c r="B193" s="9" t="inlineStr">
        <is>
          <t>60326N024C</t>
        </is>
      </c>
      <c r="C193" s="9" t="inlineStr">
        <is>
          <t>Woven</t>
        </is>
      </c>
      <c r="D193" s="17" t="n">
        <v>239</v>
      </c>
      <c r="E193" s="17" t="n">
        <v>239</v>
      </c>
      <c r="F193" s="17">
        <f>E193-D193</f>
        <v>0</v>
      </c>
      <c r="G193" s="18">
        <f>IFERROR(F193/D193,"")</f>
        <v>0.0</v>
      </c>
      <c r="H193" s="9" t="str">
        <f>IF(D193=0,"新增",IF(E193=0,"消失",IF(F193&gt;0,"增加",IF(F193&lt;0,"減少","無變化"))))</f>
        <v>無變化</v>
      </c>
    </row>
    <row r="194">
      <c r="A194" s="9" t="inlineStr">
        <is>
          <t>GU-32</t>
        </is>
      </c>
      <c r="B194" s="9" t="inlineStr">
        <is>
          <t>60326N064B</t>
        </is>
      </c>
      <c r="C194" s="9" t="inlineStr">
        <is>
          <t>Woven</t>
        </is>
      </c>
      <c r="D194" s="17" t="n">
        <v>2089</v>
      </c>
      <c r="E194" s="17" t="n">
        <v>2089</v>
      </c>
      <c r="F194" s="17">
        <f>E194-D194</f>
        <v>0</v>
      </c>
      <c r="G194" s="18">
        <f>IFERROR(F194/D194,"")</f>
        <v>0.0</v>
      </c>
      <c r="H194" s="9" t="str">
        <f>IF(D194=0,"新增",IF(E194=0,"消失",IF(F194&gt;0,"增加",IF(F194&lt;0,"減少","無變化"))))</f>
        <v>無變化</v>
      </c>
    </row>
    <row r="195">
      <c r="A195" s="9" t="inlineStr">
        <is>
          <t>GU-32</t>
        </is>
      </c>
      <c r="B195" s="9" t="inlineStr">
        <is>
          <t>60327H024B</t>
        </is>
      </c>
      <c r="C195" s="9" t="inlineStr">
        <is>
          <t>Woven</t>
        </is>
      </c>
      <c r="D195" s="17" t="n">
        <v>2904</v>
      </c>
      <c r="E195" s="17" t="n">
        <v>2904</v>
      </c>
      <c r="F195" s="17">
        <f>E195-D195</f>
        <v>0</v>
      </c>
      <c r="G195" s="18">
        <f>IFERROR(F195/D195,"")</f>
        <v>0.0</v>
      </c>
      <c r="H195" s="9" t="str">
        <f>IF(D195=0,"新增",IF(E195=0,"消失",IF(F195&gt;0,"增加",IF(F195&lt;0,"減少","無變化"))))</f>
        <v>無變化</v>
      </c>
    </row>
    <row r="196">
      <c r="A196" s="9" t="inlineStr">
        <is>
          <t>GU-32</t>
        </is>
      </c>
      <c r="B196" s="9" t="inlineStr">
        <is>
          <t>60327H051B</t>
        </is>
      </c>
      <c r="C196" s="9" t="inlineStr">
        <is>
          <t>Woven</t>
        </is>
      </c>
      <c r="D196" s="17" t="n">
        <v>2516</v>
      </c>
      <c r="E196" s="17" t="n">
        <v>2516</v>
      </c>
      <c r="F196" s="17">
        <f>E196-D196</f>
        <v>0</v>
      </c>
      <c r="G196" s="18">
        <f>IFERROR(F196/D196,"")</f>
        <v>0.0</v>
      </c>
      <c r="H196" s="9" t="str">
        <f>IF(D196=0,"新增",IF(E196=0,"消失",IF(F196&gt;0,"增加",IF(F196&lt;0,"減少","無變化"))))</f>
        <v>無變化</v>
      </c>
    </row>
    <row r="197">
      <c r="A197" s="9" t="inlineStr">
        <is>
          <t>GU-32</t>
        </is>
      </c>
      <c r="B197" s="9" t="inlineStr">
        <is>
          <t>60327H055B</t>
        </is>
      </c>
      <c r="C197" s="9" t="inlineStr">
        <is>
          <t>Woven</t>
        </is>
      </c>
      <c r="D197" s="17" t="n">
        <v>1357</v>
      </c>
      <c r="E197" s="17" t="n">
        <v>1357</v>
      </c>
      <c r="F197" s="17">
        <f>E197-D197</f>
        <v>0</v>
      </c>
      <c r="G197" s="18">
        <f>IFERROR(F197/D197,"")</f>
        <v>0.0</v>
      </c>
      <c r="H197" s="9" t="str">
        <f>IF(D197=0,"新增",IF(E197=0,"消失",IF(F197&gt;0,"增加",IF(F197&lt;0,"減少","無變化"))))</f>
        <v>無變化</v>
      </c>
    </row>
    <row r="198">
      <c r="A198" s="9" t="inlineStr">
        <is>
          <t>GU-32</t>
        </is>
      </c>
      <c r="B198" s="9" t="inlineStr">
        <is>
          <t>60327H055C</t>
        </is>
      </c>
      <c r="C198" s="9" t="inlineStr">
        <is>
          <t>Woven</t>
        </is>
      </c>
      <c r="D198" s="17" t="n">
        <v>2869</v>
      </c>
      <c r="E198" s="17" t="n">
        <v>2869</v>
      </c>
      <c r="F198" s="17">
        <f>E198-D198</f>
        <v>0</v>
      </c>
      <c r="G198" s="18">
        <f>IFERROR(F198/D198,"")</f>
        <v>0.0</v>
      </c>
      <c r="H198" s="9" t="str">
        <f>IF(D198=0,"新增",IF(E198=0,"消失",IF(F198&gt;0,"增加",IF(F198&lt;0,"減少","無變化"))))</f>
        <v>無變化</v>
      </c>
    </row>
    <row r="199">
      <c r="A199" s="9" t="inlineStr">
        <is>
          <t>GU-32</t>
        </is>
      </c>
      <c r="B199" s="9" t="inlineStr">
        <is>
          <t>60327H055E</t>
        </is>
      </c>
      <c r="C199" s="9" t="inlineStr">
        <is>
          <t>Woven</t>
        </is>
      </c>
      <c r="D199" s="17" t="n">
        <v>704</v>
      </c>
      <c r="E199" s="17" t="n">
        <v>704</v>
      </c>
      <c r="F199" s="17">
        <f>E199-D199</f>
        <v>0</v>
      </c>
      <c r="G199" s="18">
        <f>IFERROR(F199/D199,"")</f>
        <v>0.0</v>
      </c>
      <c r="H199" s="9" t="str">
        <f>IF(D199=0,"新增",IF(E199=0,"消失",IF(F199&gt;0,"增加",IF(F199&lt;0,"減少","無變化"))))</f>
        <v>無變化</v>
      </c>
    </row>
    <row r="200">
      <c r="A200" s="9" t="inlineStr">
        <is>
          <t>GU-32</t>
        </is>
      </c>
      <c r="B200" s="9" t="inlineStr">
        <is>
          <t>60327H055F</t>
        </is>
      </c>
      <c r="C200" s="9" t="inlineStr">
        <is>
          <t>Woven</t>
        </is>
      </c>
      <c r="D200" s="17" t="n">
        <v>1406</v>
      </c>
      <c r="E200" s="17" t="n">
        <v>1406</v>
      </c>
      <c r="F200" s="17">
        <f>E200-D200</f>
        <v>0</v>
      </c>
      <c r="G200" s="18">
        <f>IFERROR(F200/D200,"")</f>
        <v>0.0</v>
      </c>
      <c r="H200" s="9" t="str">
        <f>IF(D200=0,"新增",IF(E200=0,"消失",IF(F200&gt;0,"增加",IF(F200&lt;0,"減少","無變化"))))</f>
        <v>無變化</v>
      </c>
    </row>
    <row r="201">
      <c r="A201" s="9" t="inlineStr">
        <is>
          <t>GU-32</t>
        </is>
      </c>
      <c r="B201" s="9" t="inlineStr">
        <is>
          <t>60327N051A</t>
        </is>
      </c>
      <c r="C201" s="9" t="inlineStr">
        <is>
          <t>Woven</t>
        </is>
      </c>
      <c r="D201" s="17" t="n">
        <v>5967</v>
      </c>
      <c r="E201" s="17" t="n">
        <v>5967</v>
      </c>
      <c r="F201" s="17">
        <f>E201-D201</f>
        <v>0</v>
      </c>
      <c r="G201" s="18">
        <f>IFERROR(F201/D201,"")</f>
        <v>0.0</v>
      </c>
      <c r="H201" s="9" t="str">
        <f>IF(D201=0,"新增",IF(E201=0,"消失",IF(F201&gt;0,"增加",IF(F201&lt;0,"減少","無變化"))))</f>
        <v>無變化</v>
      </c>
    </row>
    <row r="202">
      <c r="A202" s="9" t="inlineStr">
        <is>
          <t>GU-32</t>
        </is>
      </c>
      <c r="B202" s="9" t="inlineStr">
        <is>
          <t>60327N051B</t>
        </is>
      </c>
      <c r="C202" s="9" t="inlineStr">
        <is>
          <t>Woven</t>
        </is>
      </c>
      <c r="D202" s="17" t="n">
        <v>2090</v>
      </c>
      <c r="E202" s="17" t="n">
        <v>2090</v>
      </c>
      <c r="F202" s="17">
        <f>E202-D202</f>
        <v>0</v>
      </c>
      <c r="G202" s="18">
        <f>IFERROR(F202/D202,"")</f>
        <v>0.0</v>
      </c>
      <c r="H202" s="9" t="str">
        <f>IF(D202=0,"新增",IF(E202=0,"消失",IF(F202&gt;0,"增加",IF(F202&lt;0,"減少","無變化"))))</f>
        <v>無變化</v>
      </c>
    </row>
    <row r="203">
      <c r="A203" s="9" t="inlineStr">
        <is>
          <t>GU-32</t>
        </is>
      </c>
      <c r="B203" s="9" t="inlineStr">
        <is>
          <t>60327N051C</t>
        </is>
      </c>
      <c r="C203" s="9" t="inlineStr">
        <is>
          <t>Woven</t>
        </is>
      </c>
      <c r="D203" s="17" t="n">
        <v>3146</v>
      </c>
      <c r="E203" s="17" t="n">
        <v>3146</v>
      </c>
      <c r="F203" s="17">
        <f>E203-D203</f>
        <v>0</v>
      </c>
      <c r="G203" s="18">
        <f>IFERROR(F203/D203,"")</f>
        <v>0.0</v>
      </c>
      <c r="H203" s="9" t="str">
        <f>IF(D203=0,"新增",IF(E203=0,"消失",IF(F203&gt;0,"增加",IF(F203&lt;0,"減少","無變化"))))</f>
        <v>無變化</v>
      </c>
    </row>
    <row r="204">
      <c r="A204" s="9" t="inlineStr">
        <is>
          <t>GU-32</t>
        </is>
      </c>
      <c r="B204" s="9" t="inlineStr">
        <is>
          <t>60327N056A</t>
        </is>
      </c>
      <c r="C204" s="9" t="inlineStr">
        <is>
          <t>Woven</t>
        </is>
      </c>
      <c r="D204" s="17" t="n">
        <v>4564</v>
      </c>
      <c r="E204" s="17" t="n">
        <v>4564</v>
      </c>
      <c r="F204" s="17">
        <f>E204-D204</f>
        <v>0</v>
      </c>
      <c r="G204" s="18">
        <f>IFERROR(F204/D204,"")</f>
        <v>0.0</v>
      </c>
      <c r="H204" s="9" t="str">
        <f>IF(D204=0,"新增",IF(E204=0,"消失",IF(F204&gt;0,"增加",IF(F204&lt;0,"減少","無變化"))))</f>
        <v>無變化</v>
      </c>
    </row>
    <row r="205">
      <c r="A205" s="9" t="inlineStr">
        <is>
          <t>GU-32</t>
        </is>
      </c>
      <c r="B205" s="9" t="inlineStr">
        <is>
          <t>60327N064C</t>
        </is>
      </c>
      <c r="C205" s="9" t="inlineStr">
        <is>
          <t>Woven</t>
        </is>
      </c>
      <c r="D205" s="17" t="n">
        <v>3166</v>
      </c>
      <c r="E205" s="17" t="n">
        <v>3166</v>
      </c>
      <c r="F205" s="17">
        <f>E205-D205</f>
        <v>0</v>
      </c>
      <c r="G205" s="18">
        <f>IFERROR(F205/D205,"")</f>
        <v>0.0</v>
      </c>
      <c r="H205" s="9" t="str">
        <f>IF(D205=0,"新增",IF(E205=0,"消失",IF(F205&gt;0,"增加",IF(F205&lt;0,"減少","無變化"))))</f>
        <v>無變化</v>
      </c>
    </row>
    <row r="206">
      <c r="A206" s="9" t="inlineStr">
        <is>
          <t>GU-32</t>
        </is>
      </c>
      <c r="B206" s="9" t="inlineStr">
        <is>
          <t>60327H051C</t>
        </is>
      </c>
      <c r="C206" s="9" t="inlineStr">
        <is>
          <t>Woven</t>
        </is>
      </c>
      <c r="D206" s="17" t="n">
        <v>7521</v>
      </c>
      <c r="E206" s="17" t="n">
        <v>7523</v>
      </c>
      <c r="F206" s="17">
        <f>E206-D206</f>
        <v>2</v>
      </c>
      <c r="G206" s="18">
        <f>IFERROR(F206/D206,"")</f>
        <v>0.0002659221</v>
      </c>
      <c r="H206" s="9" t="str">
        <f>IF(D206=0,"新增",IF(E206=0,"消失",IF(F206&gt;0,"增加",IF(F206&lt;0,"減少","無變化"))))</f>
        <v>增加</v>
      </c>
    </row>
    <row r="207">
      <c r="A207" s="9" t="inlineStr">
        <is>
          <t>GU-32</t>
        </is>
      </c>
      <c r="B207" s="9" t="inlineStr">
        <is>
          <t>60326F053B</t>
        </is>
      </c>
      <c r="C207" s="9" t="inlineStr">
        <is>
          <t>Woven</t>
        </is>
      </c>
      <c r="D207" s="17" t="n">
        <v>4922</v>
      </c>
      <c r="E207" s="17" t="n">
        <v>4926</v>
      </c>
      <c r="F207" s="17">
        <f>E207-D207</f>
        <v>4</v>
      </c>
      <c r="G207" s="18">
        <f>IFERROR(F207/D207,"")</f>
        <v>0.0008126778</v>
      </c>
      <c r="H207" s="9" t="str">
        <f>IF(D207=0,"新增",IF(E207=0,"消失",IF(F207&gt;0,"增加",IF(F207&lt;0,"減少","無變化"))))</f>
        <v>增加</v>
      </c>
    </row>
    <row r="208">
      <c r="A208" s="9" t="inlineStr">
        <is>
          <t>GU-32</t>
        </is>
      </c>
      <c r="B208" s="9" t="inlineStr">
        <is>
          <t>60326F068B</t>
        </is>
      </c>
      <c r="C208" s="9" t="inlineStr">
        <is>
          <t>Woven</t>
        </is>
      </c>
      <c r="D208" s="17" t="n">
        <v>9290</v>
      </c>
      <c r="E208" s="17" t="n">
        <v>9315</v>
      </c>
      <c r="F208" s="17">
        <f>E208-D208</f>
        <v>25</v>
      </c>
      <c r="G208" s="18">
        <f>IFERROR(F208/D208,"")</f>
        <v>0.0026910657</v>
      </c>
      <c r="H208" s="9" t="str">
        <f>IF(D208=0,"新增",IF(E208=0,"消失",IF(F208&gt;0,"增加",IF(F208&lt;0,"減少","無變化"))))</f>
        <v>增加</v>
      </c>
    </row>
    <row r="209">
      <c r="A209" s="9" t="inlineStr">
        <is>
          <t>GU-32</t>
        </is>
      </c>
      <c r="B209" s="9" t="inlineStr">
        <is>
          <t>60326N024A</t>
        </is>
      </c>
      <c r="C209" s="9" t="inlineStr">
        <is>
          <t>Woven</t>
        </is>
      </c>
      <c r="D209" s="17" t="n">
        <v>7944</v>
      </c>
      <c r="E209" s="17" t="n">
        <v>7971</v>
      </c>
      <c r="F209" s="17">
        <f>E209-D209</f>
        <v>27</v>
      </c>
      <c r="G209" s="18">
        <f>IFERROR(F209/D209,"")</f>
        <v>0.0033987915</v>
      </c>
      <c r="H209" s="9" t="str">
        <f>IF(D209=0,"新增",IF(E209=0,"消失",IF(F209&gt;0,"增加",IF(F209&lt;0,"減少","無變化"))))</f>
        <v>增加</v>
      </c>
    </row>
    <row r="210">
      <c r="A210" s="9" t="inlineStr">
        <is>
          <t>GU-32</t>
        </is>
      </c>
      <c r="B210" s="9" t="inlineStr">
        <is>
          <t>60326F051A</t>
        </is>
      </c>
      <c r="C210" s="9" t="inlineStr">
        <is>
          <t>Woven</t>
        </is>
      </c>
      <c r="D210" s="17" t="n">
        <v>27665</v>
      </c>
      <c r="E210" s="17" t="n">
        <v>27693</v>
      </c>
      <c r="F210" s="17">
        <f>E210-D210</f>
        <v>28</v>
      </c>
      <c r="G210" s="18">
        <f>IFERROR(F210/D210,"")</f>
        <v>0.0010121092</v>
      </c>
      <c r="H210" s="9" t="str">
        <f>IF(D210=0,"新增",IF(E210=0,"消失",IF(F210&gt;0,"增加",IF(F210&lt;0,"減少","無變化"))))</f>
        <v>增加</v>
      </c>
    </row>
    <row r="211">
      <c r="A211" s="9" t="inlineStr">
        <is>
          <t>GU-32</t>
        </is>
      </c>
      <c r="B211" s="9" t="inlineStr">
        <is>
          <t>60326F051B</t>
        </is>
      </c>
      <c r="C211" s="9" t="inlineStr">
        <is>
          <t>Woven</t>
        </is>
      </c>
      <c r="D211" s="17" t="n">
        <v>5691</v>
      </c>
      <c r="E211" s="17" t="n">
        <v>5743</v>
      </c>
      <c r="F211" s="17">
        <f>E211-D211</f>
        <v>52</v>
      </c>
      <c r="G211" s="18">
        <f>IFERROR(F211/D211,"")</f>
        <v>0.0091372342</v>
      </c>
      <c r="H211" s="9" t="str">
        <f>IF(D211=0,"新增",IF(E211=0,"消失",IF(F211&gt;0,"增加",IF(F211&lt;0,"減少","無變化"))))</f>
        <v>增加</v>
      </c>
    </row>
    <row r="212">
      <c r="A212" s="9" t="inlineStr">
        <is>
          <t>GU-32</t>
        </is>
      </c>
      <c r="B212" s="9" t="inlineStr">
        <is>
          <t>60326F062C</t>
        </is>
      </c>
      <c r="C212" s="9" t="inlineStr">
        <is>
          <t>Woven</t>
        </is>
      </c>
      <c r="D212" s="17" t="n">
        <v>6308</v>
      </c>
      <c r="E212" s="17" t="n">
        <v>6365</v>
      </c>
      <c r="F212" s="17">
        <f>E212-D212</f>
        <v>57</v>
      </c>
      <c r="G212" s="18">
        <f>IFERROR(F212/D212,"")</f>
        <v>0.0090361446</v>
      </c>
      <c r="H212" s="9" t="str">
        <f>IF(D212=0,"新增",IF(E212=0,"消失",IF(F212&gt;0,"增加",IF(F212&lt;0,"減少","無變化"))))</f>
        <v>增加</v>
      </c>
    </row>
    <row r="213">
      <c r="A213" s="9" t="inlineStr">
        <is>
          <t>GU-32</t>
        </is>
      </c>
      <c r="B213" s="9" t="inlineStr">
        <is>
          <t>60327H051D</t>
        </is>
      </c>
      <c r="C213" s="9" t="inlineStr">
        <is>
          <t>Woven</t>
        </is>
      </c>
      <c r="D213" s="17" t="n">
        <v>134</v>
      </c>
      <c r="E213" s="17" t="n">
        <v>201</v>
      </c>
      <c r="F213" s="17">
        <f>E213-D213</f>
        <v>67</v>
      </c>
      <c r="G213" s="18">
        <f>IFERROR(F213/D213,"")</f>
        <v>0.5</v>
      </c>
      <c r="H213" s="9" t="str">
        <f>IF(D213=0,"新增",IF(E213=0,"消失",IF(F213&gt;0,"增加",IF(F213&lt;0,"減少","無變化"))))</f>
        <v>增加</v>
      </c>
    </row>
    <row r="214">
      <c r="A214" s="9" t="inlineStr">
        <is>
          <t>GU-32</t>
        </is>
      </c>
      <c r="B214" s="9" t="inlineStr">
        <is>
          <t>60326F073A</t>
        </is>
      </c>
      <c r="C214" s="9" t="inlineStr">
        <is>
          <t>Woven</t>
        </is>
      </c>
      <c r="D214" s="17" t="n">
        <v>47008</v>
      </c>
      <c r="E214" s="17" t="n">
        <v>47114</v>
      </c>
      <c r="F214" s="17">
        <f>E214-D214</f>
        <v>106</v>
      </c>
      <c r="G214" s="18">
        <f>IFERROR(F214/D214,"")</f>
        <v>0.0022549353</v>
      </c>
      <c r="H214" s="9" t="str">
        <f>IF(D214=0,"新增",IF(E214=0,"消失",IF(F214&gt;0,"增加",IF(F214&lt;0,"減少","無變化"))))</f>
        <v>增加</v>
      </c>
    </row>
    <row r="215">
      <c r="A215" s="9" t="inlineStr">
        <is>
          <t>GU-32</t>
        </is>
      </c>
      <c r="B215" s="9" t="inlineStr">
        <is>
          <t>60327H045B</t>
        </is>
      </c>
      <c r="C215" s="9" t="inlineStr">
        <is>
          <t>Woven</t>
        </is>
      </c>
      <c r="D215" s="17" t="n">
        <v>1208</v>
      </c>
      <c r="E215" s="17" t="n">
        <v>1656</v>
      </c>
      <c r="F215" s="17">
        <f>E215-D215</f>
        <v>448</v>
      </c>
      <c r="G215" s="18">
        <f>IFERROR(F215/D215,"")</f>
        <v>0.3708609272</v>
      </c>
      <c r="H215" s="9" t="str">
        <f>IF(D215=0,"新增",IF(E215=0,"消失",IF(F215&gt;0,"增加",IF(F215&lt;0,"減少","無變化"))))</f>
        <v>增加</v>
      </c>
    </row>
    <row r="216">
      <c r="A216" s="9" t="inlineStr">
        <is>
          <t>GU-32</t>
        </is>
      </c>
      <c r="B216" s="9" t="inlineStr">
        <is>
          <t>60327H045C</t>
        </is>
      </c>
      <c r="C216" s="9" t="inlineStr">
        <is>
          <t>Woven</t>
        </is>
      </c>
      <c r="D216" s="17" t="n">
        <v>1657</v>
      </c>
      <c r="E216" s="17" t="n">
        <v>2692</v>
      </c>
      <c r="F216" s="17">
        <f>E216-D216</f>
        <v>1035</v>
      </c>
      <c r="G216" s="18">
        <f>IFERROR(F216/D216,"")</f>
        <v>0.6246228123</v>
      </c>
      <c r="H216" s="9" t="str">
        <f>IF(D216=0,"新增",IF(E216=0,"消失",IF(F216&gt;0,"增加",IF(F216&lt;0,"減少","無變化"))))</f>
        <v>增加</v>
      </c>
    </row>
    <row r="217">
      <c r="A217" s="9" t="inlineStr">
        <is>
          <t>GU-32</t>
        </is>
      </c>
      <c r="B217" s="9" t="inlineStr">
        <is>
          <t>60327H045A</t>
        </is>
      </c>
      <c r="C217" s="9" t="inlineStr">
        <is>
          <t>Woven</t>
        </is>
      </c>
      <c r="D217" s="17" t="n">
        <v>48783</v>
      </c>
      <c r="E217" s="17" t="n">
        <v>51024</v>
      </c>
      <c r="F217" s="17">
        <f>E217-D217</f>
        <v>2241</v>
      </c>
      <c r="G217" s="18">
        <f>IFERROR(F217/D217,"")</f>
        <v>0.0459381342</v>
      </c>
      <c r="H217" s="9" t="str">
        <f>IF(D217=0,"新增",IF(E217=0,"消失",IF(F217&gt;0,"增加",IF(F217&lt;0,"減少","無變化"))))</f>
        <v>增加</v>
      </c>
    </row>
    <row r="218">
      <c r="A218" s="9" t="inlineStr">
        <is>
          <t>GU-32</t>
        </is>
      </c>
      <c r="B218" s="9" t="inlineStr">
        <is>
          <t>60327H055G</t>
        </is>
      </c>
      <c r="C218" s="9" t="inlineStr">
        <is>
          <t>Woven</t>
        </is>
      </c>
      <c r="D218" s="17" t="n">
        <v>6378</v>
      </c>
      <c r="E218" s="17" t="n">
        <v>8820</v>
      </c>
      <c r="F218" s="17">
        <f>E218-D218</f>
        <v>2442</v>
      </c>
      <c r="G218" s="18">
        <f>IFERROR(F218/D218,"")</f>
        <v>0.3828786453</v>
      </c>
      <c r="H218" s="9" t="str">
        <f>IF(D218=0,"新增",IF(E218=0,"消失",IF(F218&gt;0,"增加",IF(F218&lt;0,"減少","無變化"))))</f>
        <v>增加</v>
      </c>
    </row>
    <row r="219">
      <c r="A219" s="9" t="inlineStr">
        <is>
          <t>GU-32</t>
        </is>
      </c>
      <c r="B219" s="9" t="inlineStr">
        <is>
          <t>60327H051E</t>
        </is>
      </c>
      <c r="C219" s="9" t="inlineStr">
        <is>
          <t>Woven</t>
        </is>
      </c>
      <c r="D219" s="17" t="n">
        <v>3125</v>
      </c>
      <c r="E219" s="17" t="n">
        <v>7587</v>
      </c>
      <c r="F219" s="17">
        <f>E219-D219</f>
        <v>4462</v>
      </c>
      <c r="G219" s="18">
        <f>IFERROR(F219/D219,"")</f>
        <v>1.42784</v>
      </c>
      <c r="H219" s="9" t="str">
        <f>IF(D219=0,"新增",IF(E219=0,"消失",IF(F219&gt;0,"增加",IF(F219&lt;0,"減少","無變化"))))</f>
        <v>增加</v>
      </c>
    </row>
    <row r="220">
      <c r="A220" s="9" t="inlineStr">
        <is>
          <t>GU-32</t>
        </is>
      </c>
      <c r="B220" s="9" t="inlineStr">
        <is>
          <t>60327H098C</t>
        </is>
      </c>
      <c r="C220" s="9" t="inlineStr">
        <is>
          <t>Woven</t>
        </is>
      </c>
      <c r="D220" s="17" t="n">
        <v>0</v>
      </c>
      <c r="E220" s="17" t="n">
        <v>11552</v>
      </c>
      <c r="F220" s="17">
        <f>E220-D220</f>
        <v>11552</v>
      </c>
      <c r="G220" s="18">
        <f>IFERROR(F220/D220,"")</f>
        <v/>
      </c>
      <c r="H220" s="9" t="str">
        <f>IF(D220=0,"新增",IF(E220=0,"消失",IF(F220&gt;0,"增加",IF(F220&lt;0,"減少","無變化"))))</f>
        <v>新增</v>
      </c>
    </row>
    <row r="221">
      <c r="A221" s="9" t="inlineStr">
        <is>
          <t>GU-32</t>
        </is>
      </c>
      <c r="B221" s="9" t="inlineStr">
        <is>
          <t>buffer</t>
        </is>
      </c>
      <c r="C221" s="9" t="inlineStr">
        <is>
          <t>Woven</t>
        </is>
      </c>
      <c r="D221" s="17" t="n">
        <v>9999</v>
      </c>
      <c r="E221" s="17" t="n">
        <v>30998</v>
      </c>
      <c r="F221" s="17">
        <f>E221-D221</f>
        <v>20999</v>
      </c>
      <c r="G221" s="18">
        <f>IFERROR(F221/D221,"")</f>
        <v>2.100110011</v>
      </c>
      <c r="H221" s="9" t="str">
        <f>IF(D221=0,"新增",IF(E221=0,"消失",IF(F221&gt;0,"增加",IF(F221&lt;0,"減少","無變化"))))</f>
        <v>增加</v>
      </c>
    </row>
    <row r="222">
      <c r="A222" s="9" t="inlineStr">
        <is>
          <t>GU-33</t>
        </is>
      </c>
      <c r="B222" s="9" t="inlineStr">
        <is>
          <t>60336N003F</t>
        </is>
      </c>
      <c r="C222" s="9" t="inlineStr">
        <is>
          <t>Woven</t>
        </is>
      </c>
      <c r="D222" s="17" t="n">
        <v>3094</v>
      </c>
      <c r="E222" s="17" t="n">
        <v>3094</v>
      </c>
      <c r="F222" s="17">
        <f>E222-D222</f>
        <v>0</v>
      </c>
      <c r="G222" s="18">
        <f>IFERROR(F222/D222,"")</f>
        <v>0.0</v>
      </c>
      <c r="H222" s="9" t="str">
        <f>IF(D222=0,"新增",IF(E222=0,"消失",IF(F222&gt;0,"增加",IF(F222&lt;0,"減少","無變化"))))</f>
        <v>無變化</v>
      </c>
    </row>
    <row r="223">
      <c r="A223" s="9" t="inlineStr">
        <is>
          <t>GU-34</t>
        </is>
      </c>
      <c r="B223" s="9" t="inlineStr">
        <is>
          <t>60347H045A</t>
        </is>
      </c>
      <c r="C223" s="9" t="inlineStr">
        <is>
          <t>Knit</t>
        </is>
      </c>
      <c r="D223" s="17" t="n">
        <v>26025</v>
      </c>
      <c r="E223" s="17" t="n">
        <v>13012</v>
      </c>
      <c r="F223" s="17">
        <f>E223-D223</f>
        <v>-13013</v>
      </c>
      <c r="G223" s="18">
        <f>IFERROR(F223/D223,"")</f>
        <v>-0.5000192123</v>
      </c>
      <c r="H223" s="9" t="str">
        <f>IF(D223=0,"新增",IF(E223=0,"消失",IF(F223&gt;0,"增加",IF(F223&lt;0,"減少","無變化"))))</f>
        <v>減少</v>
      </c>
    </row>
    <row r="224">
      <c r="A224" s="9" t="inlineStr">
        <is>
          <t>GU-37</t>
        </is>
      </c>
      <c r="B224" s="9" t="inlineStr">
        <is>
          <t>60376N007B</t>
        </is>
      </c>
      <c r="C224" s="9" t="inlineStr">
        <is>
          <t>Knit</t>
        </is>
      </c>
      <c r="D224" s="17" t="n">
        <v>270</v>
      </c>
      <c r="E224" s="17" t="n">
        <v>270</v>
      </c>
      <c r="F224" s="17">
        <f>E224-D224</f>
        <v>0</v>
      </c>
      <c r="G224" s="18">
        <f>IFERROR(F224/D224,"")</f>
        <v>0.0</v>
      </c>
      <c r="H224" s="9" t="str">
        <f>IF(D224=0,"新增",IF(E224=0,"消失",IF(F224&gt;0,"增加",IF(F224&lt;0,"減少","無變化"))))</f>
        <v>無變化</v>
      </c>
    </row>
    <row r="225">
      <c r="A225" s="9" t="inlineStr">
        <is>
          <t>GU-37</t>
        </is>
      </c>
      <c r="B225" s="9" t="inlineStr">
        <is>
          <t>60376N046A</t>
        </is>
      </c>
      <c r="C225" s="9" t="inlineStr">
        <is>
          <t>Knit</t>
        </is>
      </c>
      <c r="D225" s="17" t="n">
        <v>153</v>
      </c>
      <c r="E225" s="17" t="n">
        <v>153</v>
      </c>
      <c r="F225" s="17">
        <f>E225-D225</f>
        <v>0</v>
      </c>
      <c r="G225" s="18">
        <f>IFERROR(F225/D225,"")</f>
        <v>0.0</v>
      </c>
      <c r="H225" s="9" t="str">
        <f>IF(D225=0,"新增",IF(E225=0,"消失",IF(F225&gt;0,"增加",IF(F225&lt;0,"減少","無變化"))))</f>
        <v>無變化</v>
      </c>
    </row>
    <row r="226">
      <c r="A226" s="9" t="inlineStr">
        <is>
          <t>GU-37</t>
        </is>
      </c>
      <c r="B226" s="9" t="inlineStr">
        <is>
          <t>60376N007A</t>
        </is>
      </c>
      <c r="C226" s="9" t="inlineStr">
        <is>
          <t>Knit</t>
        </is>
      </c>
      <c r="D226" s="17" t="n">
        <v>9893</v>
      </c>
      <c r="E226" s="17" t="n">
        <v>9894</v>
      </c>
      <c r="F226" s="17">
        <f>E226-D226</f>
        <v>1</v>
      </c>
      <c r="G226" s="18">
        <f>IFERROR(F226/D226,"")</f>
        <v>0.0001010816</v>
      </c>
      <c r="H226" s="9" t="str">
        <f>IF(D226=0,"新增",IF(E226=0,"消失",IF(F226&gt;0,"增加",IF(F226&lt;0,"減少","無變化"))))</f>
        <v>增加</v>
      </c>
    </row>
    <row r="227">
      <c r="A227" s="12" t="inlineStr">
        <is>
          <t>合計</t>
        </is>
      </c>
      <c r="B227" s="19" t="n"/>
      <c r="C227" s="19" t="n"/>
      <c r="D227" s="20">
        <f>SUM(D2:D226)</f>
        <v>2566885</v>
      </c>
      <c r="E227" s="20">
        <f>SUM(E2:E226)</f>
        <v>2497332</v>
      </c>
      <c r="F227" s="20">
        <f>E227-D227</f>
        <v>-69553</v>
      </c>
      <c r="G227" s="21">
        <f>IFERROR(F227/D227,"")</f>
        <v>-0.0270962665</v>
      </c>
      <c r="H227" s="19" t="n"/>
    </row>
  </sheetData>
  <autoFilter ref="A1:H226"/>
  <conditionalFormatting sqref="F2:F22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30" customHeight="1">
      <c r="A1" s="6" t="inlineStr">
        <is>
          <t>部門 div.</t>
        </is>
      </c>
      <c r="B1" s="6" t="inlineStr">
        <is>
          <t>款號 style</t>
        </is>
      </c>
      <c r="C1" s="6" t="inlineStr">
        <is>
          <t>工廠</t>
        </is>
      </c>
      <c r="D1" s="6" t="inlineStr">
        <is>
          <t>K/W</t>
        </is>
      </c>
      <c r="E1" s="6" t="inlineStr">
        <is>
          <t>07/23 標打</t>
        </is>
      </c>
      <c r="F1" s="6" t="inlineStr">
        <is>
          <t>07/30 標打</t>
        </is>
      </c>
      <c r="G1" s="6" t="inlineStr">
        <is>
          <t>差異</t>
        </is>
      </c>
      <c r="H1" s="6" t="inlineStr">
        <is>
          <t>差異%</t>
        </is>
      </c>
      <c r="I1" s="6" t="inlineStr">
        <is>
          <t>變動</t>
        </is>
      </c>
    </row>
    <row r="2">
      <c r="A2" s="9" t="inlineStr">
        <is>
          <t>GU-11</t>
        </is>
      </c>
      <c r="B2" s="9" t="inlineStr">
        <is>
          <t>60117H006A</t>
        </is>
      </c>
      <c r="C2" s="9" t="inlineStr">
        <is>
          <t>NVN</t>
        </is>
      </c>
      <c r="D2" s="9" t="inlineStr">
        <is>
          <t>Woven</t>
        </is>
      </c>
      <c r="E2" s="17" t="n">
        <v>7650</v>
      </c>
      <c r="F2" s="17" t="n">
        <v>7786</v>
      </c>
      <c r="G2" s="17">
        <f>F2-E2</f>
        <v>136</v>
      </c>
      <c r="H2" s="18">
        <f>IFERROR(G2/E2,"")</f>
        <v>0.0177777778</v>
      </c>
      <c r="I2" s="9" t="str">
        <f>IF(E2=0,"新增",IF(F2=0,"消失",IF(G2&gt;0,"增加",IF(G2&lt;0,"減少","無變化"))))</f>
        <v>增加</v>
      </c>
    </row>
    <row r="3">
      <c r="A3" s="9" t="inlineStr">
        <is>
          <t>GU-12</t>
        </is>
      </c>
      <c r="B3" s="9" t="inlineStr">
        <is>
          <t>60127N012A</t>
        </is>
      </c>
      <c r="C3" s="9" t="inlineStr">
        <is>
          <t>NVN</t>
        </is>
      </c>
      <c r="D3" s="9" t="inlineStr">
        <is>
          <t>Woven</t>
        </is>
      </c>
      <c r="E3" s="17" t="n">
        <v>29636</v>
      </c>
      <c r="F3" s="17" t="n">
        <v>23957</v>
      </c>
      <c r="G3" s="17">
        <f>F3-E3</f>
        <v>-5679</v>
      </c>
      <c r="H3" s="18">
        <f>IFERROR(G3/E3,"")</f>
        <v>-0.1916250506</v>
      </c>
      <c r="I3" s="9" t="str">
        <f>IF(E3=0,"新增",IF(F3=0,"消失",IF(G3&gt;0,"增加",IF(G3&lt;0,"減少","無變化"))))</f>
        <v>減少</v>
      </c>
    </row>
    <row r="4">
      <c r="A4" s="9" t="inlineStr">
        <is>
          <t>GU-12</t>
        </is>
      </c>
      <c r="B4" s="9" t="inlineStr">
        <is>
          <t>60126F056A</t>
        </is>
      </c>
      <c r="C4" s="9" t="inlineStr">
        <is>
          <t>SMG</t>
        </is>
      </c>
      <c r="D4" s="9" t="inlineStr">
        <is>
          <t>Knit</t>
        </is>
      </c>
      <c r="E4" s="17" t="n">
        <v>18931</v>
      </c>
      <c r="F4" s="17" t="n">
        <v>18929</v>
      </c>
      <c r="G4" s="17">
        <f>F4-E4</f>
        <v>-2</v>
      </c>
      <c r="H4" s="18">
        <f>IFERROR(G4/E4,"")</f>
        <v>-0.0001056468</v>
      </c>
      <c r="I4" s="9" t="str">
        <f>IF(E4=0,"新增",IF(F4=0,"消失",IF(G4&gt;0,"增加",IF(G4&lt;0,"減少","無變化"))))</f>
        <v>減少</v>
      </c>
    </row>
    <row r="5">
      <c r="A5" s="9" t="inlineStr">
        <is>
          <t>GU-12</t>
        </is>
      </c>
      <c r="B5" s="9" t="inlineStr">
        <is>
          <t>60126N024B</t>
        </is>
      </c>
      <c r="C5" s="9" t="inlineStr">
        <is>
          <t>SMG</t>
        </is>
      </c>
      <c r="D5" s="9" t="inlineStr">
        <is>
          <t>Knit</t>
        </is>
      </c>
      <c r="E5" s="17" t="n">
        <v>2838</v>
      </c>
      <c r="F5" s="17" t="n">
        <v>2837</v>
      </c>
      <c r="G5" s="17">
        <f>F5-E5</f>
        <v>-1</v>
      </c>
      <c r="H5" s="18">
        <f>IFERROR(G5/E5,"")</f>
        <v>-0.0003523608</v>
      </c>
      <c r="I5" s="9" t="str">
        <f>IF(E5=0,"新增",IF(F5=0,"消失",IF(G5&gt;0,"增加",IF(G5&lt;0,"減少","無變化"))))</f>
        <v>減少</v>
      </c>
    </row>
    <row r="6">
      <c r="A6" s="9" t="inlineStr">
        <is>
          <t>GU-12</t>
        </is>
      </c>
      <c r="B6" s="9" t="inlineStr">
        <is>
          <t>60126F054A</t>
        </is>
      </c>
      <c r="C6" s="9" t="inlineStr">
        <is>
          <t>SMG</t>
        </is>
      </c>
      <c r="D6" s="9" t="inlineStr">
        <is>
          <t>Woven</t>
        </is>
      </c>
      <c r="E6" s="17" t="n">
        <v>3207</v>
      </c>
      <c r="F6" s="17" t="n">
        <v>3207</v>
      </c>
      <c r="G6" s="17">
        <f>F6-E6</f>
        <v>0</v>
      </c>
      <c r="H6" s="18">
        <f>IFERROR(G6/E6,"")</f>
        <v>0.0</v>
      </c>
      <c r="I6" s="9" t="str">
        <f>IF(E6=0,"新增",IF(F6=0,"消失",IF(G6&gt;0,"增加",IF(G6&lt;0,"減少","無變化"))))</f>
        <v>無變化</v>
      </c>
    </row>
    <row r="7">
      <c r="A7" s="9" t="inlineStr">
        <is>
          <t>GU-12</t>
        </is>
      </c>
      <c r="B7" s="9" t="inlineStr">
        <is>
          <t>60126F054B</t>
        </is>
      </c>
      <c r="C7" s="9" t="inlineStr">
        <is>
          <t>SMG</t>
        </is>
      </c>
      <c r="D7" s="9" t="inlineStr">
        <is>
          <t>Woven</t>
        </is>
      </c>
      <c r="E7" s="17" t="n">
        <v>5145</v>
      </c>
      <c r="F7" s="17" t="n">
        <v>5145</v>
      </c>
      <c r="G7" s="17">
        <f>F7-E7</f>
        <v>0</v>
      </c>
      <c r="H7" s="18">
        <f>IFERROR(G7/E7,"")</f>
        <v>0.0</v>
      </c>
      <c r="I7" s="9" t="str">
        <f>IF(E7=0,"新增",IF(F7=0,"消失",IF(G7&gt;0,"增加",IF(G7&lt;0,"減少","無變化"))))</f>
        <v>無變化</v>
      </c>
    </row>
    <row r="8">
      <c r="A8" s="9" t="inlineStr">
        <is>
          <t>GU-12</t>
        </is>
      </c>
      <c r="B8" s="9" t="inlineStr">
        <is>
          <t>60126F054C</t>
        </is>
      </c>
      <c r="C8" s="9" t="inlineStr">
        <is>
          <t>SMG</t>
        </is>
      </c>
      <c r="D8" s="9" t="inlineStr">
        <is>
          <t>Woven</t>
        </is>
      </c>
      <c r="E8" s="17" t="n">
        <v>2724</v>
      </c>
      <c r="F8" s="17" t="n">
        <v>2724</v>
      </c>
      <c r="G8" s="17">
        <f>F8-E8</f>
        <v>0</v>
      </c>
      <c r="H8" s="18">
        <f>IFERROR(G8/E8,"")</f>
        <v>0.0</v>
      </c>
      <c r="I8" s="9" t="str">
        <f>IF(E8=0,"新增",IF(F8=0,"消失",IF(G8&gt;0,"增加",IF(G8&lt;0,"減少","無變化"))))</f>
        <v>無變化</v>
      </c>
    </row>
    <row r="9">
      <c r="A9" s="9" t="inlineStr">
        <is>
          <t>GU-12</t>
        </is>
      </c>
      <c r="B9" s="9" t="inlineStr">
        <is>
          <t>60126F064A</t>
        </is>
      </c>
      <c r="C9" s="9" t="inlineStr">
        <is>
          <t>SMG</t>
        </is>
      </c>
      <c r="D9" s="9" t="inlineStr">
        <is>
          <t>Woven</t>
        </is>
      </c>
      <c r="E9" s="17" t="n">
        <v>9007</v>
      </c>
      <c r="F9" s="17" t="n">
        <v>9007</v>
      </c>
      <c r="G9" s="17">
        <f>F9-E9</f>
        <v>0</v>
      </c>
      <c r="H9" s="18">
        <f>IFERROR(G9/E9,"")</f>
        <v>0.0</v>
      </c>
      <c r="I9" s="9" t="str">
        <f>IF(E9=0,"新增",IF(F9=0,"消失",IF(G9&gt;0,"增加",IF(G9&lt;0,"減少","無變化"))))</f>
        <v>無變化</v>
      </c>
    </row>
    <row r="10">
      <c r="A10" s="9" t="inlineStr">
        <is>
          <t>GU-12</t>
        </is>
      </c>
      <c r="B10" s="9" t="inlineStr">
        <is>
          <t>60126F117A</t>
        </is>
      </c>
      <c r="C10" s="9" t="inlineStr">
        <is>
          <t>SMG</t>
        </is>
      </c>
      <c r="D10" s="9" t="inlineStr">
        <is>
          <t>Woven</t>
        </is>
      </c>
      <c r="E10" s="17" t="n">
        <v>2799</v>
      </c>
      <c r="F10" s="17" t="n">
        <v>2799</v>
      </c>
      <c r="G10" s="17">
        <f>F10-E10</f>
        <v>0</v>
      </c>
      <c r="H10" s="18">
        <f>IFERROR(G10/E10,"")</f>
        <v>0.0</v>
      </c>
      <c r="I10" s="9" t="str">
        <f>IF(E10=0,"新增",IF(F10=0,"消失",IF(G10&gt;0,"增加",IF(G10&lt;0,"減少","無變化"))))</f>
        <v>無變化</v>
      </c>
    </row>
    <row r="11">
      <c r="A11" s="9" t="inlineStr">
        <is>
          <t>GU-12</t>
        </is>
      </c>
      <c r="B11" s="9" t="inlineStr">
        <is>
          <t>60126N024A</t>
        </is>
      </c>
      <c r="C11" s="9" t="inlineStr">
        <is>
          <t>SMG</t>
        </is>
      </c>
      <c r="D11" s="9" t="inlineStr">
        <is>
          <t>Knit</t>
        </is>
      </c>
      <c r="E11" s="17" t="n">
        <v>232</v>
      </c>
      <c r="F11" s="17" t="n">
        <v>232</v>
      </c>
      <c r="G11" s="17">
        <f>F11-E11</f>
        <v>0</v>
      </c>
      <c r="H11" s="18">
        <f>IFERROR(G11/E11,"")</f>
        <v>0.0</v>
      </c>
      <c r="I11" s="9" t="str">
        <f>IF(E11=0,"新增",IF(F11=0,"消失",IF(G11&gt;0,"增加",IF(G11&lt;0,"減少","無變化"))))</f>
        <v>無變化</v>
      </c>
    </row>
    <row r="12">
      <c r="A12" s="9" t="inlineStr">
        <is>
          <t>GU-12</t>
        </is>
      </c>
      <c r="B12" s="9" t="inlineStr">
        <is>
          <t>60126N062B</t>
        </is>
      </c>
      <c r="C12" s="9" t="inlineStr">
        <is>
          <t>SMG</t>
        </is>
      </c>
      <c r="D12" s="9" t="inlineStr">
        <is>
          <t>Woven</t>
        </is>
      </c>
      <c r="E12" s="17" t="n">
        <v>2724</v>
      </c>
      <c r="F12" s="17" t="n">
        <v>2724</v>
      </c>
      <c r="G12" s="17">
        <f>F12-E12</f>
        <v>0</v>
      </c>
      <c r="H12" s="18">
        <f>IFERROR(G12/E12,"")</f>
        <v>0.0</v>
      </c>
      <c r="I12" s="9" t="str">
        <f>IF(E12=0,"新增",IF(F12=0,"消失",IF(G12&gt;0,"增加",IF(G12&lt;0,"減少","無變化"))))</f>
        <v>無變化</v>
      </c>
    </row>
    <row r="13">
      <c r="A13" s="9" t="inlineStr">
        <is>
          <t>GU-12</t>
        </is>
      </c>
      <c r="B13" s="9" t="inlineStr">
        <is>
          <t>60127H007B</t>
        </is>
      </c>
      <c r="C13" s="9" t="inlineStr">
        <is>
          <t>NVN</t>
        </is>
      </c>
      <c r="D13" s="9" t="inlineStr">
        <is>
          <t>Woven</t>
        </is>
      </c>
      <c r="E13" s="17" t="n">
        <v>2776</v>
      </c>
      <c r="F13" s="17" t="n">
        <v>2776</v>
      </c>
      <c r="G13" s="17">
        <f>F13-E13</f>
        <v>0</v>
      </c>
      <c r="H13" s="18">
        <f>IFERROR(G13/E13,"")</f>
        <v>0.0</v>
      </c>
      <c r="I13" s="9" t="str">
        <f>IF(E13=0,"新增",IF(F13=0,"消失",IF(G13&gt;0,"增加",IF(G13&lt;0,"減少","無變化"))))</f>
        <v>無變化</v>
      </c>
    </row>
    <row r="14">
      <c r="A14" s="9" t="inlineStr">
        <is>
          <t>GU-12</t>
        </is>
      </c>
      <c r="B14" s="9" t="inlineStr">
        <is>
          <t>60127N054A</t>
        </is>
      </c>
      <c r="C14" s="9" t="inlineStr">
        <is>
          <t>SMG</t>
        </is>
      </c>
      <c r="D14" s="9" t="inlineStr">
        <is>
          <t>Woven</t>
        </is>
      </c>
      <c r="E14" s="17" t="n">
        <v>7300</v>
      </c>
      <c r="F14" s="17" t="n">
        <v>7300</v>
      </c>
      <c r="G14" s="17">
        <f>F14-E14</f>
        <v>0</v>
      </c>
      <c r="H14" s="18">
        <f>IFERROR(G14/E14,"")</f>
        <v>0.0</v>
      </c>
      <c r="I14" s="9" t="str">
        <f>IF(E14=0,"新增",IF(F14=0,"消失",IF(G14&gt;0,"增加",IF(G14&lt;0,"減少","無變化"))))</f>
        <v>無變化</v>
      </c>
    </row>
    <row r="15">
      <c r="A15" s="9" t="inlineStr">
        <is>
          <t>GU-12</t>
        </is>
      </c>
      <c r="B15" s="9" t="inlineStr">
        <is>
          <t>60127N056A</t>
        </is>
      </c>
      <c r="C15" s="9" t="inlineStr">
        <is>
          <t>SMG</t>
        </is>
      </c>
      <c r="D15" s="9" t="inlineStr">
        <is>
          <t>Knit</t>
        </is>
      </c>
      <c r="E15" s="17" t="n">
        <v>8406</v>
      </c>
      <c r="F15" s="17" t="n">
        <v>8406</v>
      </c>
      <c r="G15" s="17">
        <f>F15-E15</f>
        <v>0</v>
      </c>
      <c r="H15" s="18">
        <f>IFERROR(G15/E15,"")</f>
        <v>0.0</v>
      </c>
      <c r="I15" s="9" t="str">
        <f>IF(E15=0,"新增",IF(F15=0,"消失",IF(G15&gt;0,"增加",IF(G15&lt;0,"減少","無變化"))))</f>
        <v>無變化</v>
      </c>
    </row>
    <row r="16">
      <c r="A16" s="9" t="inlineStr">
        <is>
          <t>GU-12</t>
        </is>
      </c>
      <c r="B16" s="9" t="inlineStr">
        <is>
          <t>Buffer</t>
        </is>
      </c>
      <c r="C16" s="9" t="inlineStr">
        <is>
          <t>NVN</t>
        </is>
      </c>
      <c r="D16" s="9" t="inlineStr">
        <is>
          <t>Woven</t>
        </is>
      </c>
      <c r="E16" s="17" t="n">
        <v>1875</v>
      </c>
      <c r="F16" s="17" t="n">
        <v>1875</v>
      </c>
      <c r="G16" s="17">
        <f>F16-E16</f>
        <v>0</v>
      </c>
      <c r="H16" s="18">
        <f>IFERROR(G16/E16,"")</f>
        <v>0.0</v>
      </c>
      <c r="I16" s="9" t="str">
        <f>IF(E16=0,"新增",IF(F16=0,"消失",IF(G16&gt;0,"增加",IF(G16&lt;0,"減少","無變化"))))</f>
        <v>無變化</v>
      </c>
    </row>
    <row r="17">
      <c r="A17" s="9" t="inlineStr">
        <is>
          <t>GU-12</t>
        </is>
      </c>
      <c r="B17" s="9" t="inlineStr">
        <is>
          <t>60126F055C</t>
        </is>
      </c>
      <c r="C17" s="9" t="inlineStr">
        <is>
          <t>SMG</t>
        </is>
      </c>
      <c r="D17" s="9" t="inlineStr">
        <is>
          <t>Woven</t>
        </is>
      </c>
      <c r="E17" s="17" t="n">
        <v>5623</v>
      </c>
      <c r="F17" s="17" t="n">
        <v>5632</v>
      </c>
      <c r="G17" s="17">
        <f>F17-E17</f>
        <v>9</v>
      </c>
      <c r="H17" s="18">
        <f>IFERROR(G17/E17,"")</f>
        <v>0.0016005691</v>
      </c>
      <c r="I17" s="9" t="str">
        <f>IF(E17=0,"新增",IF(F17=0,"消失",IF(G17&gt;0,"增加",IF(G17&lt;0,"減少","無變化"))))</f>
        <v>增加</v>
      </c>
    </row>
    <row r="18">
      <c r="A18" s="9" t="inlineStr">
        <is>
          <t>GU-12</t>
        </is>
      </c>
      <c r="B18" s="9" t="inlineStr">
        <is>
          <t>60126F055B</t>
        </is>
      </c>
      <c r="C18" s="9" t="inlineStr">
        <is>
          <t>SMG</t>
        </is>
      </c>
      <c r="D18" s="9" t="inlineStr">
        <is>
          <t>Woven</t>
        </is>
      </c>
      <c r="E18" s="17" t="n">
        <v>5006</v>
      </c>
      <c r="F18" s="17" t="n">
        <v>5023</v>
      </c>
      <c r="G18" s="17">
        <f>F18-E18</f>
        <v>17</v>
      </c>
      <c r="H18" s="18">
        <f>IFERROR(G18/E18,"")</f>
        <v>0.0033959249</v>
      </c>
      <c r="I18" s="9" t="str">
        <f>IF(E18=0,"新增",IF(F18=0,"消失",IF(G18&gt;0,"增加",IF(G18&lt;0,"減少","無變化"))))</f>
        <v>增加</v>
      </c>
    </row>
    <row r="19">
      <c r="A19" s="9" t="inlineStr">
        <is>
          <t>GU-12</t>
        </is>
      </c>
      <c r="B19" s="9" t="inlineStr">
        <is>
          <t>60127N060A</t>
        </is>
      </c>
      <c r="C19" s="9" t="inlineStr">
        <is>
          <t>SMG</t>
        </is>
      </c>
      <c r="D19" s="9" t="inlineStr">
        <is>
          <t>Woven</t>
        </is>
      </c>
      <c r="E19" s="17" t="n">
        <v>1494</v>
      </c>
      <c r="F19" s="17" t="n">
        <v>1552</v>
      </c>
      <c r="G19" s="17">
        <f>F19-E19</f>
        <v>58</v>
      </c>
      <c r="H19" s="18">
        <f>IFERROR(G19/E19,"")</f>
        <v>0.0388219545</v>
      </c>
      <c r="I19" s="9" t="str">
        <f>IF(E19=0,"新增",IF(F19=0,"消失",IF(G19&gt;0,"增加",IF(G19&lt;0,"減少","無變化"))))</f>
        <v>增加</v>
      </c>
    </row>
    <row r="20">
      <c r="A20" s="9" t="inlineStr">
        <is>
          <t>GU-12</t>
        </is>
      </c>
      <c r="B20" s="9" t="inlineStr">
        <is>
          <t>60127N051B</t>
        </is>
      </c>
      <c r="C20" s="9" t="inlineStr">
        <is>
          <t>SMG</t>
        </is>
      </c>
      <c r="D20" s="9" t="inlineStr">
        <is>
          <t>Woven</t>
        </is>
      </c>
      <c r="E20" s="17" t="n">
        <v>35880</v>
      </c>
      <c r="F20" s="17" t="n">
        <v>37200</v>
      </c>
      <c r="G20" s="17">
        <f>F20-E20</f>
        <v>1320</v>
      </c>
      <c r="H20" s="18">
        <f>IFERROR(G20/E20,"")</f>
        <v>0.0367892977</v>
      </c>
      <c r="I20" s="9" t="str">
        <f>IF(E20=0,"新增",IF(F20=0,"消失",IF(G20&gt;0,"增加",IF(G20&lt;0,"減少","無變化"))))</f>
        <v>增加</v>
      </c>
    </row>
    <row r="21">
      <c r="A21" s="9" t="inlineStr">
        <is>
          <t>GU-12</t>
        </is>
      </c>
      <c r="B21" s="9" t="inlineStr">
        <is>
          <t>60127H052B</t>
        </is>
      </c>
      <c r="C21" s="9" t="inlineStr">
        <is>
          <t>SMG</t>
        </is>
      </c>
      <c r="D21" s="9" t="inlineStr">
        <is>
          <t>Woven</t>
        </is>
      </c>
      <c r="E21" s="17" t="n">
        <v>7192</v>
      </c>
      <c r="F21" s="17" t="n">
        <v>10005</v>
      </c>
      <c r="G21" s="17">
        <f>F21-E21</f>
        <v>2813</v>
      </c>
      <c r="H21" s="18">
        <f>IFERROR(G21/E21,"")</f>
        <v>0.3911290323</v>
      </c>
      <c r="I21" s="9" t="str">
        <f>IF(E21=0,"新增",IF(F21=0,"消失",IF(G21&gt;0,"增加",IF(G21&lt;0,"減少","無變化"))))</f>
        <v>增加</v>
      </c>
    </row>
    <row r="22">
      <c r="A22" s="9" t="inlineStr">
        <is>
          <t>GU-13</t>
        </is>
      </c>
      <c r="B22" s="9" t="inlineStr">
        <is>
          <t>60136N005A</t>
        </is>
      </c>
      <c r="C22" s="9" t="inlineStr">
        <is>
          <t>SMG</t>
        </is>
      </c>
      <c r="D22" s="9" t="inlineStr">
        <is>
          <t>Woven</t>
        </is>
      </c>
      <c r="E22" s="17" t="n">
        <v>428</v>
      </c>
      <c r="F22" s="17" t="n">
        <v>428</v>
      </c>
      <c r="G22" s="17">
        <f>F22-E22</f>
        <v>0</v>
      </c>
      <c r="H22" s="18">
        <f>IFERROR(G22/E22,"")</f>
        <v>0.0</v>
      </c>
      <c r="I22" s="9" t="str">
        <f>IF(E22=0,"新增",IF(F22=0,"消失",IF(G22&gt;0,"增加",IF(G22&lt;0,"減少","無變化"))))</f>
        <v>無變化</v>
      </c>
    </row>
    <row r="23">
      <c r="A23" s="9" t="inlineStr">
        <is>
          <t>GU-13</t>
        </is>
      </c>
      <c r="B23" s="9" t="inlineStr">
        <is>
          <t>60137N019A</t>
        </is>
      </c>
      <c r="C23" s="9" t="inlineStr">
        <is>
          <t>SMG</t>
        </is>
      </c>
      <c r="D23" s="9" t="inlineStr">
        <is>
          <t>Woven</t>
        </is>
      </c>
      <c r="E23" s="17" t="n">
        <v>1133</v>
      </c>
      <c r="F23" s="17" t="n">
        <v>1215</v>
      </c>
      <c r="G23" s="17">
        <f>F23-E23</f>
        <v>82</v>
      </c>
      <c r="H23" s="18">
        <f>IFERROR(G23/E23,"")</f>
        <v>0.0723742277</v>
      </c>
      <c r="I23" s="9" t="str">
        <f>IF(E23=0,"新增",IF(F23=0,"消失",IF(G23&gt;0,"增加",IF(G23&lt;0,"減少","無變化"))))</f>
        <v>增加</v>
      </c>
    </row>
    <row r="24">
      <c r="A24" s="9" t="inlineStr">
        <is>
          <t>GU-13</t>
        </is>
      </c>
      <c r="B24" s="9" t="inlineStr">
        <is>
          <t>60137N013A</t>
        </is>
      </c>
      <c r="C24" s="9" t="inlineStr">
        <is>
          <t>SMG</t>
        </is>
      </c>
      <c r="D24" s="9" t="inlineStr">
        <is>
          <t>Woven</t>
        </is>
      </c>
      <c r="E24" s="17" t="n">
        <v>2876</v>
      </c>
      <c r="F24" s="17" t="n">
        <v>3177</v>
      </c>
      <c r="G24" s="17">
        <f>F24-E24</f>
        <v>301</v>
      </c>
      <c r="H24" s="18">
        <f>IFERROR(G24/E24,"")</f>
        <v>0.104659249</v>
      </c>
      <c r="I24" s="9" t="str">
        <f>IF(E24=0,"新增",IF(F24=0,"消失",IF(G24&gt;0,"增加",IF(G24&lt;0,"減少","無變化"))))</f>
        <v>增加</v>
      </c>
    </row>
    <row r="25">
      <c r="A25" s="9" t="inlineStr">
        <is>
          <t>GU-13</t>
        </is>
      </c>
      <c r="B25" s="9" t="inlineStr">
        <is>
          <t>60137N003A</t>
        </is>
      </c>
      <c r="C25" s="9" t="inlineStr">
        <is>
          <t>NVN</t>
        </is>
      </c>
      <c r="D25" s="9" t="inlineStr">
        <is>
          <t>Woven</t>
        </is>
      </c>
      <c r="E25" s="17" t="n">
        <v>0</v>
      </c>
      <c r="F25" s="17" t="n">
        <v>5333</v>
      </c>
      <c r="G25" s="17">
        <f>F25-E25</f>
        <v>5333</v>
      </c>
      <c r="H25" s="18">
        <f>IFERROR(G25/E25,"")</f>
        <v/>
      </c>
      <c r="I25" s="9" t="str">
        <f>IF(E25=0,"新增",IF(F25=0,"消失",IF(G25&gt;0,"增加",IF(G25&lt;0,"減少","無變化"))))</f>
        <v>新增</v>
      </c>
    </row>
    <row r="26">
      <c r="A26" s="9" t="inlineStr">
        <is>
          <t>GU-14</t>
        </is>
      </c>
      <c r="B26" s="9" t="inlineStr">
        <is>
          <t>60147N130B</t>
        </is>
      </c>
      <c r="C26" s="9" t="inlineStr">
        <is>
          <t>SMG</t>
        </is>
      </c>
      <c r="D26" s="9" t="inlineStr">
        <is>
          <t>Woven</t>
        </is>
      </c>
      <c r="E26" s="17" t="n">
        <v>3675</v>
      </c>
      <c r="F26" s="17" t="n">
        <v>3554</v>
      </c>
      <c r="G26" s="17">
        <f>F26-E26</f>
        <v>-121</v>
      </c>
      <c r="H26" s="18">
        <f>IFERROR(G26/E26,"")</f>
        <v>-0.0329251701</v>
      </c>
      <c r="I26" s="9" t="str">
        <f>IF(E26=0,"新增",IF(F26=0,"消失",IF(G26&gt;0,"增加",IF(G26&lt;0,"減少","無變化"))))</f>
        <v>減少</v>
      </c>
    </row>
    <row r="27">
      <c r="A27" s="9" t="inlineStr">
        <is>
          <t>GU-14</t>
        </is>
      </c>
      <c r="B27" s="9" t="inlineStr">
        <is>
          <t>60147N124A</t>
        </is>
      </c>
      <c r="C27" s="9" t="inlineStr">
        <is>
          <t>SMG</t>
        </is>
      </c>
      <c r="D27" s="9" t="inlineStr">
        <is>
          <t>Woven</t>
        </is>
      </c>
      <c r="E27" s="17" t="n">
        <v>8418</v>
      </c>
      <c r="F27" s="17" t="n">
        <v>8420</v>
      </c>
      <c r="G27" s="17">
        <f>F27-E27</f>
        <v>2</v>
      </c>
      <c r="H27" s="18">
        <f>IFERROR(G27/E27,"")</f>
        <v>0.0002375861</v>
      </c>
      <c r="I27" s="9" t="str">
        <f>IF(E27=0,"新增",IF(F27=0,"消失",IF(G27&gt;0,"增加",IF(G27&lt;0,"減少","無變化"))))</f>
        <v>增加</v>
      </c>
    </row>
    <row r="28">
      <c r="A28" s="9" t="inlineStr">
        <is>
          <t>GU-14</t>
        </is>
      </c>
      <c r="B28" s="9" t="inlineStr">
        <is>
          <t>60147N128A</t>
        </is>
      </c>
      <c r="C28" s="9" t="inlineStr">
        <is>
          <t>SMG</t>
        </is>
      </c>
      <c r="D28" s="9" t="inlineStr">
        <is>
          <t>Woven</t>
        </is>
      </c>
      <c r="E28" s="17" t="n">
        <v>6991</v>
      </c>
      <c r="F28" s="17" t="n">
        <v>7289</v>
      </c>
      <c r="G28" s="17">
        <f>F28-E28</f>
        <v>298</v>
      </c>
      <c r="H28" s="18">
        <f>IFERROR(G28/E28,"")</f>
        <v>0.0426262337</v>
      </c>
      <c r="I28" s="9" t="str">
        <f>IF(E28=0,"新增",IF(F28=0,"消失",IF(G28&gt;0,"增加",IF(G28&lt;0,"減少","無變化"))))</f>
        <v>增加</v>
      </c>
    </row>
    <row r="29">
      <c r="A29" s="9" t="inlineStr">
        <is>
          <t>GU-17</t>
        </is>
      </c>
      <c r="B29" s="9" t="inlineStr">
        <is>
          <t>60176F040A</t>
        </is>
      </c>
      <c r="C29" s="9" t="inlineStr">
        <is>
          <t>CHN</t>
        </is>
      </c>
      <c r="D29" s="9" t="inlineStr">
        <is>
          <t>Knit</t>
        </is>
      </c>
      <c r="E29" s="17" t="n">
        <v>1686</v>
      </c>
      <c r="F29" s="17" t="n">
        <v>0</v>
      </c>
      <c r="G29" s="17">
        <f>F29-E29</f>
        <v>-1686</v>
      </c>
      <c r="H29" s="18">
        <f>IFERROR(G29/E29,"")</f>
        <v>-1.0</v>
      </c>
      <c r="I29" s="9" t="str">
        <f>IF(E29=0,"新增",IF(F29=0,"消失",IF(G29&gt;0,"增加",IF(G29&lt;0,"減少","無變化"))))</f>
        <v>消失</v>
      </c>
    </row>
    <row r="30">
      <c r="A30" s="9" t="inlineStr">
        <is>
          <t>GU-17</t>
        </is>
      </c>
      <c r="B30" s="9" t="inlineStr">
        <is>
          <t>60176F037A</t>
        </is>
      </c>
      <c r="C30" s="9" t="inlineStr">
        <is>
          <t>CAB</t>
        </is>
      </c>
      <c r="D30" s="9" t="inlineStr">
        <is>
          <t>Knit</t>
        </is>
      </c>
      <c r="E30" s="17" t="n">
        <v>2775</v>
      </c>
      <c r="F30" s="17" t="n">
        <v>2774</v>
      </c>
      <c r="G30" s="17">
        <f>F30-E30</f>
        <v>-1</v>
      </c>
      <c r="H30" s="18">
        <f>IFERROR(G30/E30,"")</f>
        <v>-0.0003603604</v>
      </c>
      <c r="I30" s="9" t="str">
        <f>IF(E30=0,"新增",IF(F30=0,"消失",IF(G30&gt;0,"增加",IF(G30&lt;0,"減少","無變化"))))</f>
        <v>減少</v>
      </c>
    </row>
    <row r="31">
      <c r="A31" s="9" t="inlineStr">
        <is>
          <t>GU-17</t>
        </is>
      </c>
      <c r="B31" s="9" t="inlineStr">
        <is>
          <t>60176F036A</t>
        </is>
      </c>
      <c r="C31" s="9" t="inlineStr">
        <is>
          <t>CAB</t>
        </is>
      </c>
      <c r="D31" s="9" t="inlineStr">
        <is>
          <t>Knit</t>
        </is>
      </c>
      <c r="E31" s="17" t="n">
        <v>3382</v>
      </c>
      <c r="F31" s="17" t="n">
        <v>3382</v>
      </c>
      <c r="G31" s="17">
        <f>F31-E31</f>
        <v>0</v>
      </c>
      <c r="H31" s="18">
        <f>IFERROR(G31/E31,"")</f>
        <v>0.0</v>
      </c>
      <c r="I31" s="9" t="str">
        <f>IF(E31=0,"新增",IF(F31=0,"消失",IF(G31&gt;0,"增加",IF(G31&lt;0,"減少","無變化"))))</f>
        <v>無變化</v>
      </c>
    </row>
    <row r="32">
      <c r="A32" s="9" t="inlineStr">
        <is>
          <t>GU-17</t>
        </is>
      </c>
      <c r="B32" s="9" t="inlineStr">
        <is>
          <t>60176F036A</t>
        </is>
      </c>
      <c r="C32" s="9" t="inlineStr">
        <is>
          <t>CHN</t>
        </is>
      </c>
      <c r="D32" s="9" t="inlineStr">
        <is>
          <t>Knit</t>
        </is>
      </c>
      <c r="E32" s="17" t="n">
        <v>556</v>
      </c>
      <c r="F32" s="17" t="n">
        <v>556</v>
      </c>
      <c r="G32" s="17">
        <f>F32-E32</f>
        <v>0</v>
      </c>
      <c r="H32" s="18">
        <f>IFERROR(G32/E32,"")</f>
        <v>0.0</v>
      </c>
      <c r="I32" s="9" t="str">
        <f>IF(E32=0,"新增",IF(F32=0,"消失",IF(G32&gt;0,"增加",IF(G32&lt;0,"減少","無變化"))))</f>
        <v>無變化</v>
      </c>
    </row>
    <row r="33">
      <c r="A33" s="9" t="inlineStr">
        <is>
          <t>GU-17</t>
        </is>
      </c>
      <c r="B33" s="9" t="inlineStr">
        <is>
          <t>60176F037A</t>
        </is>
      </c>
      <c r="C33" s="9" t="inlineStr">
        <is>
          <t>CHN</t>
        </is>
      </c>
      <c r="D33" s="9" t="inlineStr">
        <is>
          <t>Knit</t>
        </is>
      </c>
      <c r="E33" s="17" t="n">
        <v>556</v>
      </c>
      <c r="F33" s="17" t="n">
        <v>556</v>
      </c>
      <c r="G33" s="17">
        <f>F33-E33</f>
        <v>0</v>
      </c>
      <c r="H33" s="18">
        <f>IFERROR(G33/E33,"")</f>
        <v>0.0</v>
      </c>
      <c r="I33" s="9" t="str">
        <f>IF(E33=0,"新增",IF(F33=0,"消失",IF(G33&gt;0,"增加",IF(G33&lt;0,"減少","無變化"))))</f>
        <v>無變化</v>
      </c>
    </row>
    <row r="34">
      <c r="A34" s="9" t="inlineStr">
        <is>
          <t>GU-17</t>
        </is>
      </c>
      <c r="B34" s="9" t="inlineStr">
        <is>
          <t>60176F038A</t>
        </is>
      </c>
      <c r="C34" s="9" t="inlineStr">
        <is>
          <t>CAB</t>
        </is>
      </c>
      <c r="D34" s="9" t="inlineStr">
        <is>
          <t>Knit</t>
        </is>
      </c>
      <c r="E34" s="17" t="n">
        <v>4786</v>
      </c>
      <c r="F34" s="17" t="n">
        <v>4786</v>
      </c>
      <c r="G34" s="17">
        <f>F34-E34</f>
        <v>0</v>
      </c>
      <c r="H34" s="18">
        <f>IFERROR(G34/E34,"")</f>
        <v>0.0</v>
      </c>
      <c r="I34" s="9" t="str">
        <f>IF(E34=0,"新增",IF(F34=0,"消失",IF(G34&gt;0,"增加",IF(G34&lt;0,"減少","無變化"))))</f>
        <v>無變化</v>
      </c>
    </row>
    <row r="35">
      <c r="A35" s="9" t="inlineStr">
        <is>
          <t>GU-17</t>
        </is>
      </c>
      <c r="B35" s="9" t="inlineStr">
        <is>
          <t>60176F040A</t>
        </is>
      </c>
      <c r="C35" s="9" t="inlineStr">
        <is>
          <t>CAB</t>
        </is>
      </c>
      <c r="D35" s="9" t="inlineStr">
        <is>
          <t>Knit</t>
        </is>
      </c>
      <c r="E35" s="17" t="n">
        <v>6360</v>
      </c>
      <c r="F35" s="17" t="n">
        <v>6360</v>
      </c>
      <c r="G35" s="17">
        <f>F35-E35</f>
        <v>0</v>
      </c>
      <c r="H35" s="18">
        <f>IFERROR(G35/E35,"")</f>
        <v>0.0</v>
      </c>
      <c r="I35" s="9" t="str">
        <f>IF(E35=0,"新增",IF(F35=0,"消失",IF(G35&gt;0,"增加",IF(G35&lt;0,"減少","無變化"))))</f>
        <v>無變化</v>
      </c>
    </row>
    <row r="36">
      <c r="A36" s="9" t="inlineStr">
        <is>
          <t>GU-17</t>
        </is>
      </c>
      <c r="B36" s="9" t="inlineStr">
        <is>
          <t>60176F041A</t>
        </is>
      </c>
      <c r="C36" s="9" t="inlineStr">
        <is>
          <t>CAB</t>
        </is>
      </c>
      <c r="D36" s="9" t="inlineStr">
        <is>
          <t>Knit</t>
        </is>
      </c>
      <c r="E36" s="17" t="n">
        <v>2222</v>
      </c>
      <c r="F36" s="17" t="n">
        <v>2222</v>
      </c>
      <c r="G36" s="17">
        <f>F36-E36</f>
        <v>0</v>
      </c>
      <c r="H36" s="18">
        <f>IFERROR(G36/E36,"")</f>
        <v>0.0</v>
      </c>
      <c r="I36" s="9" t="str">
        <f>IF(E36=0,"新增",IF(F36=0,"消失",IF(G36&gt;0,"增加",IF(G36&lt;0,"減少","無變化"))))</f>
        <v>無變化</v>
      </c>
    </row>
    <row r="37">
      <c r="A37" s="9" t="inlineStr">
        <is>
          <t>GU-17</t>
        </is>
      </c>
      <c r="B37" s="9" t="inlineStr">
        <is>
          <t>60176F042A</t>
        </is>
      </c>
      <c r="C37" s="9" t="inlineStr">
        <is>
          <t>CAB</t>
        </is>
      </c>
      <c r="D37" s="9" t="inlineStr">
        <is>
          <t>Knit</t>
        </is>
      </c>
      <c r="E37" s="17" t="n">
        <v>3267</v>
      </c>
      <c r="F37" s="17" t="n">
        <v>3267</v>
      </c>
      <c r="G37" s="17">
        <f>F37-E37</f>
        <v>0</v>
      </c>
      <c r="H37" s="18">
        <f>IFERROR(G37/E37,"")</f>
        <v>0.0</v>
      </c>
      <c r="I37" s="9" t="str">
        <f>IF(E37=0,"新增",IF(F37=0,"消失",IF(G37&gt;0,"增加",IF(G37&lt;0,"減少","無變化"))))</f>
        <v>無變化</v>
      </c>
    </row>
    <row r="38">
      <c r="A38" s="9" t="inlineStr">
        <is>
          <t>GU-17</t>
        </is>
      </c>
      <c r="B38" s="9" t="inlineStr">
        <is>
          <t>60176F043A</t>
        </is>
      </c>
      <c r="C38" s="9" t="inlineStr">
        <is>
          <t>CAB</t>
        </is>
      </c>
      <c r="D38" s="9" t="inlineStr">
        <is>
          <t>Knit</t>
        </is>
      </c>
      <c r="E38" s="17" t="n">
        <v>1733</v>
      </c>
      <c r="F38" s="17" t="n">
        <v>1733</v>
      </c>
      <c r="G38" s="17">
        <f>F38-E38</f>
        <v>0</v>
      </c>
      <c r="H38" s="18">
        <f>IFERROR(G38/E38,"")</f>
        <v>0.0</v>
      </c>
      <c r="I38" s="9" t="str">
        <f>IF(E38=0,"新增",IF(F38=0,"消失",IF(G38&gt;0,"增加",IF(G38&lt;0,"減少","無變化"))))</f>
        <v>無變化</v>
      </c>
    </row>
    <row r="39">
      <c r="A39" s="9" t="inlineStr">
        <is>
          <t>GU-17</t>
        </is>
      </c>
      <c r="B39" s="9" t="inlineStr">
        <is>
          <t>60176F066A</t>
        </is>
      </c>
      <c r="C39" s="9" t="inlineStr">
        <is>
          <t>CAB</t>
        </is>
      </c>
      <c r="D39" s="9" t="inlineStr">
        <is>
          <t>Knit</t>
        </is>
      </c>
      <c r="E39" s="17" t="n">
        <v>2337</v>
      </c>
      <c r="F39" s="17" t="n">
        <v>2337</v>
      </c>
      <c r="G39" s="17">
        <f>F39-E39</f>
        <v>0</v>
      </c>
      <c r="H39" s="18">
        <f>IFERROR(G39/E39,"")</f>
        <v>0.0</v>
      </c>
      <c r="I39" s="9" t="str">
        <f>IF(E39=0,"新增",IF(F39=0,"消失",IF(G39&gt;0,"增加",IF(G39&lt;0,"減少","無變化"))))</f>
        <v>無變化</v>
      </c>
    </row>
    <row r="40">
      <c r="A40" s="9" t="inlineStr">
        <is>
          <t>GU-17</t>
        </is>
      </c>
      <c r="B40" s="9" t="inlineStr">
        <is>
          <t>60176F066B</t>
        </is>
      </c>
      <c r="C40" s="9" t="inlineStr">
        <is>
          <t>CAB</t>
        </is>
      </c>
      <c r="D40" s="9" t="inlineStr">
        <is>
          <t>Knit</t>
        </is>
      </c>
      <c r="E40" s="17" t="n">
        <v>3248</v>
      </c>
      <c r="F40" s="17" t="n">
        <v>3248</v>
      </c>
      <c r="G40" s="17">
        <f>F40-E40</f>
        <v>0</v>
      </c>
      <c r="H40" s="18">
        <f>IFERROR(G40/E40,"")</f>
        <v>0.0</v>
      </c>
      <c r="I40" s="9" t="str">
        <f>IF(E40=0,"新增",IF(F40=0,"消失",IF(G40&gt;0,"增加",IF(G40&lt;0,"減少","無變化"))))</f>
        <v>無變化</v>
      </c>
    </row>
    <row r="41">
      <c r="A41" s="9" t="inlineStr">
        <is>
          <t>GU-17</t>
        </is>
      </c>
      <c r="B41" s="9" t="inlineStr">
        <is>
          <t>60176F066C</t>
        </is>
      </c>
      <c r="C41" s="9" t="inlineStr">
        <is>
          <t>CAB</t>
        </is>
      </c>
      <c r="D41" s="9" t="inlineStr">
        <is>
          <t>Knit</t>
        </is>
      </c>
      <c r="E41" s="17" t="n">
        <v>3712</v>
      </c>
      <c r="F41" s="17" t="n">
        <v>3712</v>
      </c>
      <c r="G41" s="17">
        <f>F41-E41</f>
        <v>0</v>
      </c>
      <c r="H41" s="18">
        <f>IFERROR(G41/E41,"")</f>
        <v>0.0</v>
      </c>
      <c r="I41" s="9" t="str">
        <f>IF(E41=0,"新增",IF(F41=0,"消失",IF(G41&gt;0,"增加",IF(G41&lt;0,"減少","無變化"))))</f>
        <v>無變化</v>
      </c>
    </row>
    <row r="42">
      <c r="A42" s="9" t="inlineStr">
        <is>
          <t>GU-17</t>
        </is>
      </c>
      <c r="B42" s="9" t="inlineStr">
        <is>
          <t>60176F038A</t>
        </is>
      </c>
      <c r="C42" s="9" t="inlineStr">
        <is>
          <t>CHN</t>
        </is>
      </c>
      <c r="D42" s="9" t="inlineStr">
        <is>
          <t>Knit</t>
        </is>
      </c>
      <c r="E42" s="17" t="n">
        <v>832</v>
      </c>
      <c r="F42" s="17" t="n">
        <v>1756</v>
      </c>
      <c r="G42" s="17">
        <f>F42-E42</f>
        <v>924</v>
      </c>
      <c r="H42" s="18">
        <f>IFERROR(G42/E42,"")</f>
        <v>1.1105769231</v>
      </c>
      <c r="I42" s="9" t="str">
        <f>IF(E42=0,"新增",IF(F42=0,"消失",IF(G42&gt;0,"增加",IF(G42&lt;0,"減少","無變化"))))</f>
        <v>增加</v>
      </c>
    </row>
    <row r="43">
      <c r="A43" s="9" t="inlineStr">
        <is>
          <t>GU-22</t>
        </is>
      </c>
      <c r="B43" s="9" t="inlineStr">
        <is>
          <t>60227H058A</t>
        </is>
      </c>
      <c r="C43" s="9" t="inlineStr">
        <is>
          <t>SMG</t>
        </is>
      </c>
      <c r="D43" s="9" t="inlineStr">
        <is>
          <t>Woven</t>
        </is>
      </c>
      <c r="E43" s="17" t="n">
        <v>22939</v>
      </c>
      <c r="F43" s="17" t="n">
        <v>0</v>
      </c>
      <c r="G43" s="17">
        <f>F43-E43</f>
        <v>-22939</v>
      </c>
      <c r="H43" s="18">
        <f>IFERROR(G43/E43,"")</f>
        <v>-1.0</v>
      </c>
      <c r="I43" s="9" t="str">
        <f>IF(E43=0,"新增",IF(F43=0,"消失",IF(G43&gt;0,"增加",IF(G43&lt;0,"減少","無變化"))))</f>
        <v>消失</v>
      </c>
    </row>
    <row r="44">
      <c r="A44" s="9" t="inlineStr">
        <is>
          <t>GU-22</t>
        </is>
      </c>
      <c r="B44" s="9" t="inlineStr">
        <is>
          <t>60227H026A</t>
        </is>
      </c>
      <c r="C44" s="9" t="inlineStr">
        <is>
          <t>SMG</t>
        </is>
      </c>
      <c r="D44" s="9" t="inlineStr">
        <is>
          <t>Woven</t>
        </is>
      </c>
      <c r="E44" s="17" t="n">
        <v>24459</v>
      </c>
      <c r="F44" s="17" t="n">
        <v>1824</v>
      </c>
      <c r="G44" s="17">
        <f>F44-E44</f>
        <v>-22635</v>
      </c>
      <c r="H44" s="18">
        <f>IFERROR(G44/E44,"")</f>
        <v>-0.9254262235</v>
      </c>
      <c r="I44" s="9" t="str">
        <f>IF(E44=0,"新增",IF(F44=0,"消失",IF(G44&gt;0,"增加",IF(G44&lt;0,"減少","無變化"))))</f>
        <v>減少</v>
      </c>
    </row>
    <row r="45">
      <c r="A45" s="9" t="inlineStr">
        <is>
          <t>GU-22</t>
        </is>
      </c>
      <c r="B45" s="9" t="inlineStr">
        <is>
          <t>60227H019D</t>
        </is>
      </c>
      <c r="C45" s="9" t="inlineStr">
        <is>
          <t>SMG</t>
        </is>
      </c>
      <c r="D45" s="9" t="inlineStr">
        <is>
          <t>Woven</t>
        </is>
      </c>
      <c r="E45" s="17" t="n">
        <v>11773</v>
      </c>
      <c r="F45" s="17" t="n">
        <v>0</v>
      </c>
      <c r="G45" s="17">
        <f>F45-E45</f>
        <v>-11773</v>
      </c>
      <c r="H45" s="18">
        <f>IFERROR(G45/E45,"")</f>
        <v>-1.0</v>
      </c>
      <c r="I45" s="9" t="str">
        <f>IF(E45=0,"新增",IF(F45=0,"消失",IF(G45&gt;0,"增加",IF(G45&lt;0,"減少","無變化"))))</f>
        <v>消失</v>
      </c>
    </row>
    <row r="46">
      <c r="A46" s="9" t="inlineStr">
        <is>
          <t>GU-22</t>
        </is>
      </c>
      <c r="B46" s="9" t="inlineStr">
        <is>
          <t>60227H008A</t>
        </is>
      </c>
      <c r="C46" s="9" t="inlineStr">
        <is>
          <t>SMG</t>
        </is>
      </c>
      <c r="D46" s="9" t="inlineStr">
        <is>
          <t>Woven</t>
        </is>
      </c>
      <c r="E46" s="17" t="n">
        <v>33262</v>
      </c>
      <c r="F46" s="17" t="n">
        <v>27918</v>
      </c>
      <c r="G46" s="17">
        <f>F46-E46</f>
        <v>-5344</v>
      </c>
      <c r="H46" s="18">
        <f>IFERROR(G46/E46,"")</f>
        <v>-0.1606638206</v>
      </c>
      <c r="I46" s="9" t="str">
        <f>IF(E46=0,"新增",IF(F46=0,"消失",IF(G46&gt;0,"增加",IF(G46&lt;0,"減少","無變化"))))</f>
        <v>減少</v>
      </c>
    </row>
    <row r="47">
      <c r="A47" s="9" t="inlineStr">
        <is>
          <t>GU-22</t>
        </is>
      </c>
      <c r="B47" s="9" t="inlineStr">
        <is>
          <t>60227N007I</t>
        </is>
      </c>
      <c r="C47" s="9" t="inlineStr">
        <is>
          <t>SMG</t>
        </is>
      </c>
      <c r="D47" s="9" t="inlineStr">
        <is>
          <t>Woven</t>
        </is>
      </c>
      <c r="E47" s="17" t="n">
        <v>5251</v>
      </c>
      <c r="F47" s="17" t="n">
        <v>0</v>
      </c>
      <c r="G47" s="17">
        <f>F47-E47</f>
        <v>-5251</v>
      </c>
      <c r="H47" s="18">
        <f>IFERROR(G47/E47,"")</f>
        <v>-1.0</v>
      </c>
      <c r="I47" s="9" t="str">
        <f>IF(E47=0,"新增",IF(F47=0,"消失",IF(G47&gt;0,"增加",IF(G47&lt;0,"減少","無變化"))))</f>
        <v>消失</v>
      </c>
    </row>
    <row r="48">
      <c r="A48" s="9" t="inlineStr">
        <is>
          <t>GU-22</t>
        </is>
      </c>
      <c r="B48" s="9" t="inlineStr">
        <is>
          <t>60227H047A</t>
        </is>
      </c>
      <c r="C48" s="9" t="inlineStr">
        <is>
          <t>NVN</t>
        </is>
      </c>
      <c r="D48" s="9" t="inlineStr">
        <is>
          <t>Woven</t>
        </is>
      </c>
      <c r="E48" s="17" t="n">
        <v>66133</v>
      </c>
      <c r="F48" s="17" t="n">
        <v>61318</v>
      </c>
      <c r="G48" s="17">
        <f>F48-E48</f>
        <v>-4815</v>
      </c>
      <c r="H48" s="18">
        <f>IFERROR(G48/E48,"")</f>
        <v>-0.0728078267</v>
      </c>
      <c r="I48" s="9" t="str">
        <f>IF(E48=0,"新增",IF(F48=0,"消失",IF(G48&gt;0,"增加",IF(G48&lt;0,"減少","無變化"))))</f>
        <v>減少</v>
      </c>
    </row>
    <row r="49">
      <c r="A49" s="9" t="inlineStr">
        <is>
          <t>GU-22</t>
        </is>
      </c>
      <c r="B49" s="9" t="inlineStr">
        <is>
          <t>60226F069E</t>
        </is>
      </c>
      <c r="C49" s="9" t="inlineStr">
        <is>
          <t>CHN</t>
        </is>
      </c>
      <c r="D49" s="9" t="inlineStr">
        <is>
          <t>Woven</t>
        </is>
      </c>
      <c r="E49" s="17" t="n">
        <v>28438</v>
      </c>
      <c r="F49" s="17" t="n">
        <v>24706</v>
      </c>
      <c r="G49" s="17">
        <f>F49-E49</f>
        <v>-3732</v>
      </c>
      <c r="H49" s="18">
        <f>IFERROR(G49/E49,"")</f>
        <v>-0.1312328574</v>
      </c>
      <c r="I49" s="9" t="str">
        <f>IF(E49=0,"新增",IF(F49=0,"消失",IF(G49&gt;0,"增加",IF(G49&lt;0,"減少","無變化"))))</f>
        <v>減少</v>
      </c>
    </row>
    <row r="50">
      <c r="A50" s="9" t="inlineStr">
        <is>
          <t>GU-22</t>
        </is>
      </c>
      <c r="B50" s="9" t="inlineStr">
        <is>
          <t>60226F026E</t>
        </is>
      </c>
      <c r="C50" s="9" t="inlineStr">
        <is>
          <t>CHN</t>
        </is>
      </c>
      <c r="D50" s="9" t="inlineStr">
        <is>
          <t>Woven</t>
        </is>
      </c>
      <c r="E50" s="17" t="n">
        <v>7396</v>
      </c>
      <c r="F50" s="17" t="n">
        <v>4050</v>
      </c>
      <c r="G50" s="17">
        <f>F50-E50</f>
        <v>-3346</v>
      </c>
      <c r="H50" s="18">
        <f>IFERROR(G50/E50,"")</f>
        <v>-0.4524067063</v>
      </c>
      <c r="I50" s="9" t="str">
        <f>IF(E50=0,"新增",IF(F50=0,"消失",IF(G50&gt;0,"增加",IF(G50&lt;0,"減少","無變化"))))</f>
        <v>減少</v>
      </c>
    </row>
    <row r="51">
      <c r="A51" s="9" t="inlineStr">
        <is>
          <t>GU-22</t>
        </is>
      </c>
      <c r="B51" s="9" t="inlineStr">
        <is>
          <t>60227N041A</t>
        </is>
      </c>
      <c r="C51" s="9" t="inlineStr">
        <is>
          <t>SMG</t>
        </is>
      </c>
      <c r="D51" s="9" t="inlineStr">
        <is>
          <t>Woven</t>
        </is>
      </c>
      <c r="E51" s="17" t="n">
        <v>57265</v>
      </c>
      <c r="F51" s="17" t="n">
        <v>54647</v>
      </c>
      <c r="G51" s="17">
        <f>F51-E51</f>
        <v>-2618</v>
      </c>
      <c r="H51" s="18">
        <f>IFERROR(G51/E51,"")</f>
        <v>-0.0457172793</v>
      </c>
      <c r="I51" s="9" t="str">
        <f>IF(E51=0,"新增",IF(F51=0,"消失",IF(G51&gt;0,"增加",IF(G51&lt;0,"減少","無變化"))))</f>
        <v>減少</v>
      </c>
    </row>
    <row r="52">
      <c r="A52" s="9" t="inlineStr">
        <is>
          <t>GU-22</t>
        </is>
      </c>
      <c r="B52" s="9" t="inlineStr">
        <is>
          <t>60227H016A</t>
        </is>
      </c>
      <c r="C52" s="9" t="inlineStr">
        <is>
          <t>NVN</t>
        </is>
      </c>
      <c r="D52" s="9" t="inlineStr">
        <is>
          <t>Woven</t>
        </is>
      </c>
      <c r="E52" s="17" t="n">
        <v>2157</v>
      </c>
      <c r="F52" s="17" t="n">
        <v>177</v>
      </c>
      <c r="G52" s="17">
        <f>F52-E52</f>
        <v>-1980</v>
      </c>
      <c r="H52" s="18">
        <f>IFERROR(G52/E52,"")</f>
        <v>-0.9179415855</v>
      </c>
      <c r="I52" s="9" t="str">
        <f>IF(E52=0,"新增",IF(F52=0,"消失",IF(G52&gt;0,"增加",IF(G52&lt;0,"減少","無變化"))))</f>
        <v>減少</v>
      </c>
    </row>
    <row r="53">
      <c r="A53" s="9" t="inlineStr">
        <is>
          <t>GU-22</t>
        </is>
      </c>
      <c r="B53" s="9" t="inlineStr">
        <is>
          <t>60226F051D</t>
        </is>
      </c>
      <c r="C53" s="9" t="inlineStr">
        <is>
          <t>NVN</t>
        </is>
      </c>
      <c r="D53" s="9" t="inlineStr">
        <is>
          <t>Woven</t>
        </is>
      </c>
      <c r="E53" s="17" t="n">
        <v>23220</v>
      </c>
      <c r="F53" s="17" t="n">
        <v>21833</v>
      </c>
      <c r="G53" s="17">
        <f>F53-E53</f>
        <v>-1387</v>
      </c>
      <c r="H53" s="18">
        <f>IFERROR(G53/E53,"")</f>
        <v>-0.0597329888</v>
      </c>
      <c r="I53" s="9" t="str">
        <f>IF(E53=0,"新增",IF(F53=0,"消失",IF(G53&gt;0,"增加",IF(G53&lt;0,"減少","無變化"))))</f>
        <v>減少</v>
      </c>
    </row>
    <row r="54">
      <c r="A54" s="9" t="inlineStr">
        <is>
          <t>GU-22</t>
        </is>
      </c>
      <c r="B54" s="9" t="inlineStr">
        <is>
          <t>60227H019I</t>
        </is>
      </c>
      <c r="C54" s="9" t="inlineStr">
        <is>
          <t>SMG</t>
        </is>
      </c>
      <c r="D54" s="9" t="inlineStr">
        <is>
          <t>Woven</t>
        </is>
      </c>
      <c r="E54" s="17" t="n">
        <v>800</v>
      </c>
      <c r="F54" s="17" t="n">
        <v>0</v>
      </c>
      <c r="G54" s="17">
        <f>F54-E54</f>
        <v>-800</v>
      </c>
      <c r="H54" s="18">
        <f>IFERROR(G54/E54,"")</f>
        <v>-1.0</v>
      </c>
      <c r="I54" s="9" t="str">
        <f>IF(E54=0,"新增",IF(F54=0,"消失",IF(G54&gt;0,"增加",IF(G54&lt;0,"減少","無變化"))))</f>
        <v>消失</v>
      </c>
    </row>
    <row r="55">
      <c r="A55" s="9" t="inlineStr">
        <is>
          <t>GU-22</t>
        </is>
      </c>
      <c r="B55" s="9" t="inlineStr">
        <is>
          <t>60227H074A</t>
        </is>
      </c>
      <c r="C55" s="9" t="inlineStr">
        <is>
          <t>CHN</t>
        </is>
      </c>
      <c r="D55" s="9" t="inlineStr">
        <is>
          <t>Woven</t>
        </is>
      </c>
      <c r="E55" s="17" t="n">
        <v>1894</v>
      </c>
      <c r="F55" s="17" t="n">
        <v>1200</v>
      </c>
      <c r="G55" s="17">
        <f>F55-E55</f>
        <v>-694</v>
      </c>
      <c r="H55" s="18">
        <f>IFERROR(G55/E55,"")</f>
        <v>-0.3664202746</v>
      </c>
      <c r="I55" s="9" t="str">
        <f>IF(E55=0,"新增",IF(F55=0,"消失",IF(G55&gt;0,"增加",IF(G55&lt;0,"減少","無變化"))))</f>
        <v>減少</v>
      </c>
    </row>
    <row r="56">
      <c r="A56" s="9" t="inlineStr">
        <is>
          <t>GU-22</t>
        </is>
      </c>
      <c r="B56" s="9" t="inlineStr">
        <is>
          <t>60227H062B</t>
        </is>
      </c>
      <c r="C56" s="9" t="inlineStr">
        <is>
          <t>SMG</t>
        </is>
      </c>
      <c r="D56" s="9" t="inlineStr">
        <is>
          <t>Woven</t>
        </is>
      </c>
      <c r="E56" s="17" t="n">
        <v>12538</v>
      </c>
      <c r="F56" s="17" t="n">
        <v>11879</v>
      </c>
      <c r="G56" s="17">
        <f>F56-E56</f>
        <v>-659</v>
      </c>
      <c r="H56" s="18">
        <f>IFERROR(G56/E56,"")</f>
        <v>-0.0525602169</v>
      </c>
      <c r="I56" s="9" t="str">
        <f>IF(E56=0,"新增",IF(F56=0,"消失",IF(G56&gt;0,"增加",IF(G56&lt;0,"減少","無變化"))))</f>
        <v>減少</v>
      </c>
    </row>
    <row r="57">
      <c r="A57" s="9" t="inlineStr">
        <is>
          <t>GU-22</t>
        </is>
      </c>
      <c r="B57" s="9" t="inlineStr">
        <is>
          <t>60227H019H</t>
        </is>
      </c>
      <c r="C57" s="9" t="inlineStr">
        <is>
          <t>SMG</t>
        </is>
      </c>
      <c r="D57" s="9" t="inlineStr">
        <is>
          <t>Woven</t>
        </is>
      </c>
      <c r="E57" s="17" t="n">
        <v>498</v>
      </c>
      <c r="F57" s="17" t="n">
        <v>0</v>
      </c>
      <c r="G57" s="17">
        <f>F57-E57</f>
        <v>-498</v>
      </c>
      <c r="H57" s="18">
        <f>IFERROR(G57/E57,"")</f>
        <v>-1.0</v>
      </c>
      <c r="I57" s="9" t="str">
        <f>IF(E57=0,"新增",IF(F57=0,"消失",IF(G57&gt;0,"增加",IF(G57&lt;0,"減少","無變化"))))</f>
        <v>消失</v>
      </c>
    </row>
    <row r="58">
      <c r="A58" s="9" t="inlineStr">
        <is>
          <t>GU-22</t>
        </is>
      </c>
      <c r="B58" s="9" t="inlineStr">
        <is>
          <t>60227H040A</t>
        </is>
      </c>
      <c r="C58" s="9" t="inlineStr">
        <is>
          <t>SMG</t>
        </is>
      </c>
      <c r="D58" s="9" t="inlineStr">
        <is>
          <t>Woven</t>
        </is>
      </c>
      <c r="E58" s="17" t="n">
        <v>22472</v>
      </c>
      <c r="F58" s="17" t="n">
        <v>22015</v>
      </c>
      <c r="G58" s="17">
        <f>F58-E58</f>
        <v>-457</v>
      </c>
      <c r="H58" s="18">
        <f>IFERROR(G58/E58,"")</f>
        <v>-0.0203364187</v>
      </c>
      <c r="I58" s="9" t="str">
        <f>IF(E58=0,"新增",IF(F58=0,"消失",IF(G58&gt;0,"增加",IF(G58&lt;0,"減少","無變化"))))</f>
        <v>減少</v>
      </c>
    </row>
    <row r="59">
      <c r="A59" s="9" t="inlineStr">
        <is>
          <t>GU-22</t>
        </is>
      </c>
      <c r="B59" s="9" t="inlineStr">
        <is>
          <t>60227H047D</t>
        </is>
      </c>
      <c r="C59" s="9" t="inlineStr">
        <is>
          <t>NVN</t>
        </is>
      </c>
      <c r="D59" s="9" t="inlineStr">
        <is>
          <t>Woven</t>
        </is>
      </c>
      <c r="E59" s="17" t="n">
        <v>4453</v>
      </c>
      <c r="F59" s="17" t="n">
        <v>4022</v>
      </c>
      <c r="G59" s="17">
        <f>F59-E59</f>
        <v>-431</v>
      </c>
      <c r="H59" s="18">
        <f>IFERROR(G59/E59,"")</f>
        <v>-0.0967886818</v>
      </c>
      <c r="I59" s="9" t="str">
        <f>IF(E59=0,"新增",IF(F59=0,"消失",IF(G59&gt;0,"增加",IF(G59&lt;0,"減少","無變化"))))</f>
        <v>減少</v>
      </c>
    </row>
    <row r="60">
      <c r="A60" s="9" t="inlineStr">
        <is>
          <t>GU-22</t>
        </is>
      </c>
      <c r="B60" s="9" t="inlineStr">
        <is>
          <t>60227N041C</t>
        </is>
      </c>
      <c r="C60" s="9" t="inlineStr">
        <is>
          <t>SMG</t>
        </is>
      </c>
      <c r="D60" s="9" t="inlineStr">
        <is>
          <t>Woven</t>
        </is>
      </c>
      <c r="E60" s="17" t="n">
        <v>4932</v>
      </c>
      <c r="F60" s="17" t="n">
        <v>4599</v>
      </c>
      <c r="G60" s="17">
        <f>F60-E60</f>
        <v>-333</v>
      </c>
      <c r="H60" s="18">
        <f>IFERROR(G60/E60,"")</f>
        <v>-0.0675182482</v>
      </c>
      <c r="I60" s="9" t="str">
        <f>IF(E60=0,"新增",IF(F60=0,"消失",IF(G60&gt;0,"增加",IF(G60&lt;0,"減少","無變化"))))</f>
        <v>減少</v>
      </c>
    </row>
    <row r="61">
      <c r="A61" s="9" t="inlineStr">
        <is>
          <t>GU-22</t>
        </is>
      </c>
      <c r="B61" s="9" t="inlineStr">
        <is>
          <t>60227N007N</t>
        </is>
      </c>
      <c r="C61" s="9" t="inlineStr">
        <is>
          <t>SMG</t>
        </is>
      </c>
      <c r="D61" s="9" t="inlineStr">
        <is>
          <t>Woven</t>
        </is>
      </c>
      <c r="E61" s="17" t="n">
        <v>2250</v>
      </c>
      <c r="F61" s="17" t="n">
        <v>1949</v>
      </c>
      <c r="G61" s="17">
        <f>F61-E61</f>
        <v>-301</v>
      </c>
      <c r="H61" s="18">
        <f>IFERROR(G61/E61,"")</f>
        <v>-0.1337777778</v>
      </c>
      <c r="I61" s="9" t="str">
        <f>IF(E61=0,"新增",IF(F61=0,"消失",IF(G61&gt;0,"增加",IF(G61&lt;0,"減少","無變化"))))</f>
        <v>減少</v>
      </c>
    </row>
    <row r="62">
      <c r="A62" s="9" t="inlineStr">
        <is>
          <t>GU-22</t>
        </is>
      </c>
      <c r="B62" s="9" t="inlineStr">
        <is>
          <t>60227H046D</t>
        </is>
      </c>
      <c r="C62" s="9" t="inlineStr">
        <is>
          <t>CAB</t>
        </is>
      </c>
      <c r="D62" s="9" t="inlineStr">
        <is>
          <t>Woven</t>
        </is>
      </c>
      <c r="E62" s="17" t="n">
        <v>9533</v>
      </c>
      <c r="F62" s="17" t="n">
        <v>9290</v>
      </c>
      <c r="G62" s="17">
        <f>F62-E62</f>
        <v>-243</v>
      </c>
      <c r="H62" s="18">
        <f>IFERROR(G62/E62,"")</f>
        <v>-0.0254904018</v>
      </c>
      <c r="I62" s="9" t="str">
        <f>IF(E62=0,"新增",IF(F62=0,"消失",IF(G62&gt;0,"增加",IF(G62&lt;0,"減少","無變化"))))</f>
        <v>減少</v>
      </c>
    </row>
    <row r="63">
      <c r="A63" s="9" t="inlineStr">
        <is>
          <t>GU-22</t>
        </is>
      </c>
      <c r="B63" s="9" t="inlineStr">
        <is>
          <t>60227H047C</t>
        </is>
      </c>
      <c r="C63" s="9" t="inlineStr">
        <is>
          <t>NVN</t>
        </is>
      </c>
      <c r="D63" s="9" t="inlineStr">
        <is>
          <t>Woven</t>
        </is>
      </c>
      <c r="E63" s="17" t="n">
        <v>1955</v>
      </c>
      <c r="F63" s="17" t="n">
        <v>1719</v>
      </c>
      <c r="G63" s="17">
        <f>F63-E63</f>
        <v>-236</v>
      </c>
      <c r="H63" s="18">
        <f>IFERROR(G63/E63,"")</f>
        <v>-0.1207161125</v>
      </c>
      <c r="I63" s="9" t="str">
        <f>IF(E63=0,"新增",IF(F63=0,"消失",IF(G63&gt;0,"增加",IF(G63&lt;0,"減少","無變化"))))</f>
        <v>減少</v>
      </c>
    </row>
    <row r="64">
      <c r="A64" s="9" t="inlineStr">
        <is>
          <t>GU-22</t>
        </is>
      </c>
      <c r="B64" s="9" t="inlineStr">
        <is>
          <t>60227N041B</t>
        </is>
      </c>
      <c r="C64" s="9" t="inlineStr">
        <is>
          <t>SMG</t>
        </is>
      </c>
      <c r="D64" s="9" t="inlineStr">
        <is>
          <t>Woven</t>
        </is>
      </c>
      <c r="E64" s="17" t="n">
        <v>2277</v>
      </c>
      <c r="F64" s="17" t="n">
        <v>2062</v>
      </c>
      <c r="G64" s="17">
        <f>F64-E64</f>
        <v>-215</v>
      </c>
      <c r="H64" s="18">
        <f>IFERROR(G64/E64,"")</f>
        <v>-0.0944224857</v>
      </c>
      <c r="I64" s="9" t="str">
        <f>IF(E64=0,"新增",IF(F64=0,"消失",IF(G64&gt;0,"增加",IF(G64&lt;0,"減少","無變化"))))</f>
        <v>減少</v>
      </c>
    </row>
    <row r="65">
      <c r="A65" s="9" t="inlineStr">
        <is>
          <t>GU-22</t>
        </is>
      </c>
      <c r="B65" s="9" t="inlineStr">
        <is>
          <t>60227H046A</t>
        </is>
      </c>
      <c r="C65" s="9" t="inlineStr">
        <is>
          <t>NVN</t>
        </is>
      </c>
      <c r="D65" s="9" t="inlineStr">
        <is>
          <t>Woven</t>
        </is>
      </c>
      <c r="E65" s="17" t="n">
        <v>11287</v>
      </c>
      <c r="F65" s="17" t="n">
        <v>11110</v>
      </c>
      <c r="G65" s="17">
        <f>F65-E65</f>
        <v>-177</v>
      </c>
      <c r="H65" s="18">
        <f>IFERROR(G65/E65,"")</f>
        <v>-0.0156817578</v>
      </c>
      <c r="I65" s="9" t="str">
        <f>IF(E65=0,"新增",IF(F65=0,"消失",IF(G65&gt;0,"增加",IF(G65&lt;0,"減少","無變化"))))</f>
        <v>減少</v>
      </c>
    </row>
    <row r="66">
      <c r="A66" s="9" t="inlineStr">
        <is>
          <t>GU-22</t>
        </is>
      </c>
      <c r="B66" s="9" t="inlineStr">
        <is>
          <t>60227H046B</t>
        </is>
      </c>
      <c r="C66" s="9" t="inlineStr">
        <is>
          <t>SMG</t>
        </is>
      </c>
      <c r="D66" s="9" t="inlineStr">
        <is>
          <t>Woven</t>
        </is>
      </c>
      <c r="E66" s="17" t="n">
        <v>25595</v>
      </c>
      <c r="F66" s="17" t="n">
        <v>25496</v>
      </c>
      <c r="G66" s="17">
        <f>F66-E66</f>
        <v>-99</v>
      </c>
      <c r="H66" s="18">
        <f>IFERROR(G66/E66,"")</f>
        <v>-0.003867943</v>
      </c>
      <c r="I66" s="9" t="str">
        <f>IF(E66=0,"新增",IF(F66=0,"消失",IF(G66&gt;0,"增加",IF(G66&lt;0,"減少","無變化"))))</f>
        <v>減少</v>
      </c>
    </row>
    <row r="67">
      <c r="A67" s="9" t="inlineStr">
        <is>
          <t>GU-22</t>
        </is>
      </c>
      <c r="B67" s="9" t="inlineStr">
        <is>
          <t>60227N002B</t>
        </is>
      </c>
      <c r="C67" s="9" t="inlineStr">
        <is>
          <t>CAB</t>
        </is>
      </c>
      <c r="D67" s="9" t="inlineStr">
        <is>
          <t>Woven</t>
        </is>
      </c>
      <c r="E67" s="17" t="n">
        <v>6614</v>
      </c>
      <c r="F67" s="17" t="n">
        <v>6600</v>
      </c>
      <c r="G67" s="17">
        <f>F67-E67</f>
        <v>-14</v>
      </c>
      <c r="H67" s="18">
        <f>IFERROR(G67/E67,"")</f>
        <v>-0.0021167221</v>
      </c>
      <c r="I67" s="9" t="str">
        <f>IF(E67=0,"新增",IF(F67=0,"消失",IF(G67&gt;0,"增加",IF(G67&lt;0,"減少","無變化"))))</f>
        <v>減少</v>
      </c>
    </row>
    <row r="68">
      <c r="A68" s="9" t="inlineStr">
        <is>
          <t>GU-22</t>
        </is>
      </c>
      <c r="B68" s="9" t="inlineStr">
        <is>
          <t>60227H039A</t>
        </is>
      </c>
      <c r="C68" s="9" t="inlineStr">
        <is>
          <t>SMG</t>
        </is>
      </c>
      <c r="D68" s="9" t="inlineStr">
        <is>
          <t>Woven</t>
        </is>
      </c>
      <c r="E68" s="17" t="n">
        <v>29988</v>
      </c>
      <c r="F68" s="17" t="n">
        <v>29982</v>
      </c>
      <c r="G68" s="17">
        <f>F68-E68</f>
        <v>-6</v>
      </c>
      <c r="H68" s="18">
        <f>IFERROR(G68/E68,"")</f>
        <v>-0.00020008</v>
      </c>
      <c r="I68" s="9" t="str">
        <f>IF(E68=0,"新增",IF(F68=0,"消失",IF(G68&gt;0,"增加",IF(G68&lt;0,"減少","無變化"))))</f>
        <v>減少</v>
      </c>
    </row>
    <row r="69">
      <c r="A69" s="9" t="inlineStr">
        <is>
          <t>GU-22</t>
        </is>
      </c>
      <c r="B69" s="9" t="inlineStr">
        <is>
          <t>60227H034A</t>
        </is>
      </c>
      <c r="C69" s="9" t="inlineStr">
        <is>
          <t>CAB</t>
        </is>
      </c>
      <c r="D69" s="9" t="inlineStr">
        <is>
          <t>Woven</t>
        </is>
      </c>
      <c r="E69" s="17" t="n">
        <v>15792</v>
      </c>
      <c r="F69" s="17" t="n">
        <v>15789</v>
      </c>
      <c r="G69" s="17">
        <f>F69-E69</f>
        <v>-3</v>
      </c>
      <c r="H69" s="18">
        <f>IFERROR(G69/E69,"")</f>
        <v>-0.0001899696</v>
      </c>
      <c r="I69" s="9" t="str">
        <f>IF(E69=0,"新增",IF(F69=0,"消失",IF(G69&gt;0,"增加",IF(G69&lt;0,"減少","無變化"))))</f>
        <v>減少</v>
      </c>
    </row>
    <row r="70">
      <c r="A70" s="9" t="inlineStr">
        <is>
          <t>GU-22</t>
        </is>
      </c>
      <c r="B70" s="9" t="inlineStr">
        <is>
          <t>60226F033A</t>
        </is>
      </c>
      <c r="C70" s="9" t="inlineStr">
        <is>
          <t>NVN</t>
        </is>
      </c>
      <c r="D70" s="9" t="inlineStr">
        <is>
          <t>Woven</t>
        </is>
      </c>
      <c r="E70" s="17" t="n">
        <v>768</v>
      </c>
      <c r="F70" s="17" t="n">
        <v>766</v>
      </c>
      <c r="G70" s="17">
        <f>F70-E70</f>
        <v>-2</v>
      </c>
      <c r="H70" s="18">
        <f>IFERROR(G70/E70,"")</f>
        <v>-0.0026041667</v>
      </c>
      <c r="I70" s="9" t="str">
        <f>IF(E70=0,"新增",IF(F70=0,"消失",IF(G70&gt;0,"增加",IF(G70&lt;0,"減少","無變化"))))</f>
        <v>減少</v>
      </c>
    </row>
    <row r="71">
      <c r="A71" s="9" t="inlineStr">
        <is>
          <t>GU-22</t>
        </is>
      </c>
      <c r="B71" s="9" t="inlineStr">
        <is>
          <t>60226F071A</t>
        </is>
      </c>
      <c r="C71" s="9" t="inlineStr">
        <is>
          <t>CHN</t>
        </is>
      </c>
      <c r="D71" s="9" t="inlineStr">
        <is>
          <t>Woven</t>
        </is>
      </c>
      <c r="E71" s="17" t="n">
        <v>15977</v>
      </c>
      <c r="F71" s="17" t="n">
        <v>15975</v>
      </c>
      <c r="G71" s="17">
        <f>F71-E71</f>
        <v>-2</v>
      </c>
      <c r="H71" s="18">
        <f>IFERROR(G71/E71,"")</f>
        <v>-0.0001251799</v>
      </c>
      <c r="I71" s="9" t="str">
        <f>IF(E71=0,"新增",IF(F71=0,"消失",IF(G71&gt;0,"增加",IF(G71&lt;0,"減少","無變化"))))</f>
        <v>減少</v>
      </c>
    </row>
    <row r="72">
      <c r="A72" s="9" t="inlineStr">
        <is>
          <t>GU-22</t>
        </is>
      </c>
      <c r="B72" s="9" t="inlineStr">
        <is>
          <t>60226F073E</t>
        </is>
      </c>
      <c r="C72" s="9" t="inlineStr">
        <is>
          <t>CHN</t>
        </is>
      </c>
      <c r="D72" s="9" t="inlineStr">
        <is>
          <t>Knit</t>
        </is>
      </c>
      <c r="E72" s="17" t="n">
        <v>42227</v>
      </c>
      <c r="F72" s="17" t="n">
        <v>42225</v>
      </c>
      <c r="G72" s="17">
        <f>F72-E72</f>
        <v>-2</v>
      </c>
      <c r="H72" s="18">
        <f>IFERROR(G72/E72,"")</f>
        <v>-4.73631e-05</v>
      </c>
      <c r="I72" s="9" t="str">
        <f>IF(E72=0,"新增",IF(F72=0,"消失",IF(G72&gt;0,"增加",IF(G72&lt;0,"減少","無變化"))))</f>
        <v>減少</v>
      </c>
    </row>
    <row r="73">
      <c r="A73" s="9" t="inlineStr">
        <is>
          <t>GU-22</t>
        </is>
      </c>
      <c r="B73" s="9" t="inlineStr">
        <is>
          <t>60226F078A</t>
        </is>
      </c>
      <c r="C73" s="9" t="inlineStr">
        <is>
          <t>CAB</t>
        </is>
      </c>
      <c r="D73" s="9" t="inlineStr">
        <is>
          <t>Knit</t>
        </is>
      </c>
      <c r="E73" s="17" t="n">
        <v>18201</v>
      </c>
      <c r="F73" s="17" t="n">
        <v>18200</v>
      </c>
      <c r="G73" s="17">
        <f>F73-E73</f>
        <v>-1</v>
      </c>
      <c r="H73" s="18">
        <f>IFERROR(G73/E73,"")</f>
        <v>-5.4942e-05</v>
      </c>
      <c r="I73" s="9" t="str">
        <f>IF(E73=0,"新增",IF(F73=0,"消失",IF(G73&gt;0,"增加",IF(G73&lt;0,"減少","無變化"))))</f>
        <v>減少</v>
      </c>
    </row>
    <row r="74">
      <c r="A74" s="9" t="inlineStr">
        <is>
          <t>GU-22</t>
        </is>
      </c>
      <c r="B74" s="9" t="inlineStr">
        <is>
          <t>60226F019A</t>
        </is>
      </c>
      <c r="C74" s="9" t="inlineStr">
        <is>
          <t>NVN</t>
        </is>
      </c>
      <c r="D74" s="9" t="inlineStr">
        <is>
          <t>Woven</t>
        </is>
      </c>
      <c r="E74" s="17" t="n">
        <v>3122</v>
      </c>
      <c r="F74" s="17" t="n">
        <v>3122</v>
      </c>
      <c r="G74" s="17">
        <f>F74-E74</f>
        <v>0</v>
      </c>
      <c r="H74" s="18">
        <f>IFERROR(G74/E74,"")</f>
        <v>0.0</v>
      </c>
      <c r="I74" s="9" t="str">
        <f>IF(E74=0,"新增",IF(F74=0,"消失",IF(G74&gt;0,"增加",IF(G74&lt;0,"減少","無變化"))))</f>
        <v>無變化</v>
      </c>
    </row>
    <row r="75">
      <c r="A75" s="9" t="inlineStr">
        <is>
          <t>GU-22</t>
        </is>
      </c>
      <c r="B75" s="9" t="inlineStr">
        <is>
          <t>60226F019B</t>
        </is>
      </c>
      <c r="C75" s="9" t="inlineStr">
        <is>
          <t>SMG</t>
        </is>
      </c>
      <c r="D75" s="9" t="inlineStr">
        <is>
          <t>Woven</t>
        </is>
      </c>
      <c r="E75" s="17" t="n">
        <v>5026</v>
      </c>
      <c r="F75" s="17" t="n">
        <v>5026</v>
      </c>
      <c r="G75" s="17">
        <f>F75-E75</f>
        <v>0</v>
      </c>
      <c r="H75" s="18">
        <f>IFERROR(G75/E75,"")</f>
        <v>0.0</v>
      </c>
      <c r="I75" s="9" t="str">
        <f>IF(E75=0,"新增",IF(F75=0,"消失",IF(G75&gt;0,"增加",IF(G75&lt;0,"減少","無變化"))))</f>
        <v>無變化</v>
      </c>
    </row>
    <row r="76">
      <c r="A76" s="9" t="inlineStr">
        <is>
          <t>GU-22</t>
        </is>
      </c>
      <c r="B76" s="9" t="inlineStr">
        <is>
          <t>60226F019C</t>
        </is>
      </c>
      <c r="C76" s="9" t="inlineStr">
        <is>
          <t>SMG</t>
        </is>
      </c>
      <c r="D76" s="9" t="inlineStr">
        <is>
          <t>Woven</t>
        </is>
      </c>
      <c r="E76" s="17" t="n">
        <v>4381</v>
      </c>
      <c r="F76" s="17" t="n">
        <v>4381</v>
      </c>
      <c r="G76" s="17">
        <f>F76-E76</f>
        <v>0</v>
      </c>
      <c r="H76" s="18">
        <f>IFERROR(G76/E76,"")</f>
        <v>0.0</v>
      </c>
      <c r="I76" s="9" t="str">
        <f>IF(E76=0,"新增",IF(F76=0,"消失",IF(G76&gt;0,"增加",IF(G76&lt;0,"減少","無變化"))))</f>
        <v>無變化</v>
      </c>
    </row>
    <row r="77">
      <c r="A77" s="9" t="inlineStr">
        <is>
          <t>GU-22</t>
        </is>
      </c>
      <c r="B77" s="9" t="inlineStr">
        <is>
          <t>60226F019D</t>
        </is>
      </c>
      <c r="C77" s="9" t="inlineStr">
        <is>
          <t>NVN</t>
        </is>
      </c>
      <c r="D77" s="9" t="inlineStr">
        <is>
          <t>Woven</t>
        </is>
      </c>
      <c r="E77" s="17" t="n">
        <v>162</v>
      </c>
      <c r="F77" s="17" t="n">
        <v>162</v>
      </c>
      <c r="G77" s="17">
        <f>F77-E77</f>
        <v>0</v>
      </c>
      <c r="H77" s="18">
        <f>IFERROR(G77/E77,"")</f>
        <v>0.0</v>
      </c>
      <c r="I77" s="9" t="str">
        <f>IF(E77=0,"新增",IF(F77=0,"消失",IF(G77&gt;0,"增加",IF(G77&lt;0,"減少","無變化"))))</f>
        <v>無變化</v>
      </c>
    </row>
    <row r="78">
      <c r="A78" s="9" t="inlineStr">
        <is>
          <t>GU-22</t>
        </is>
      </c>
      <c r="B78" s="9" t="inlineStr">
        <is>
          <t>60226F019E</t>
        </is>
      </c>
      <c r="C78" s="9" t="inlineStr">
        <is>
          <t>SMG</t>
        </is>
      </c>
      <c r="D78" s="9" t="inlineStr">
        <is>
          <t>Woven</t>
        </is>
      </c>
      <c r="E78" s="17" t="n">
        <v>314</v>
      </c>
      <c r="F78" s="17" t="n">
        <v>314</v>
      </c>
      <c r="G78" s="17">
        <f>F78-E78</f>
        <v>0</v>
      </c>
      <c r="H78" s="18">
        <f>IFERROR(G78/E78,"")</f>
        <v>0.0</v>
      </c>
      <c r="I78" s="9" t="str">
        <f>IF(E78=0,"新增",IF(F78=0,"消失",IF(G78&gt;0,"增加",IF(G78&lt;0,"減少","無變化"))))</f>
        <v>無變化</v>
      </c>
    </row>
    <row r="79">
      <c r="A79" s="9" t="inlineStr">
        <is>
          <t>GU-22</t>
        </is>
      </c>
      <c r="B79" s="9" t="inlineStr">
        <is>
          <t>60226F019F</t>
        </is>
      </c>
      <c r="C79" s="9" t="inlineStr">
        <is>
          <t>SMG</t>
        </is>
      </c>
      <c r="D79" s="9" t="inlineStr">
        <is>
          <t>Woven</t>
        </is>
      </c>
      <c r="E79" s="17" t="n">
        <v>213</v>
      </c>
      <c r="F79" s="17" t="n">
        <v>213</v>
      </c>
      <c r="G79" s="17">
        <f>F79-E79</f>
        <v>0</v>
      </c>
      <c r="H79" s="18">
        <f>IFERROR(G79/E79,"")</f>
        <v>0.0</v>
      </c>
      <c r="I79" s="9" t="str">
        <f>IF(E79=0,"新增",IF(F79=0,"消失",IF(G79&gt;0,"增加",IF(G79&lt;0,"減少","無變化"))))</f>
        <v>無變化</v>
      </c>
    </row>
    <row r="80">
      <c r="A80" s="9" t="inlineStr">
        <is>
          <t>GU-22</t>
        </is>
      </c>
      <c r="B80" s="9" t="inlineStr">
        <is>
          <t>60226F019G</t>
        </is>
      </c>
      <c r="C80" s="9" t="inlineStr">
        <is>
          <t>NVN</t>
        </is>
      </c>
      <c r="D80" s="9" t="inlineStr">
        <is>
          <t>Woven</t>
        </is>
      </c>
      <c r="E80" s="17" t="n">
        <v>240</v>
      </c>
      <c r="F80" s="17" t="n">
        <v>240</v>
      </c>
      <c r="G80" s="17">
        <f>F80-E80</f>
        <v>0</v>
      </c>
      <c r="H80" s="18">
        <f>IFERROR(G80/E80,"")</f>
        <v>0.0</v>
      </c>
      <c r="I80" s="9" t="str">
        <f>IF(E80=0,"新增",IF(F80=0,"消失",IF(G80&gt;0,"增加",IF(G80&lt;0,"減少","無變化"))))</f>
        <v>無變化</v>
      </c>
    </row>
    <row r="81">
      <c r="A81" s="9" t="inlineStr">
        <is>
          <t>GU-22</t>
        </is>
      </c>
      <c r="B81" s="9" t="inlineStr">
        <is>
          <t>60226F019H</t>
        </is>
      </c>
      <c r="C81" s="9" t="inlineStr">
        <is>
          <t>SMG</t>
        </is>
      </c>
      <c r="D81" s="9" t="inlineStr">
        <is>
          <t>Woven</t>
        </is>
      </c>
      <c r="E81" s="17" t="n">
        <v>475</v>
      </c>
      <c r="F81" s="17" t="n">
        <v>475</v>
      </c>
      <c r="G81" s="17">
        <f>F81-E81</f>
        <v>0</v>
      </c>
      <c r="H81" s="18">
        <f>IFERROR(G81/E81,"")</f>
        <v>0.0</v>
      </c>
      <c r="I81" s="9" t="str">
        <f>IF(E81=0,"新增",IF(F81=0,"消失",IF(G81&gt;0,"增加",IF(G81&lt;0,"減少","無變化"))))</f>
        <v>無變化</v>
      </c>
    </row>
    <row r="82">
      <c r="A82" s="9" t="inlineStr">
        <is>
          <t>GU-22</t>
        </is>
      </c>
      <c r="B82" s="9" t="inlineStr">
        <is>
          <t>60226F019I</t>
        </is>
      </c>
      <c r="C82" s="9" t="inlineStr">
        <is>
          <t>SMG</t>
        </is>
      </c>
      <c r="D82" s="9" t="inlineStr">
        <is>
          <t>Woven</t>
        </is>
      </c>
      <c r="E82" s="17" t="n">
        <v>250</v>
      </c>
      <c r="F82" s="17" t="n">
        <v>250</v>
      </c>
      <c r="G82" s="17">
        <f>F82-E82</f>
        <v>0</v>
      </c>
      <c r="H82" s="18">
        <f>IFERROR(G82/E82,"")</f>
        <v>0.0</v>
      </c>
      <c r="I82" s="9" t="str">
        <f>IF(E82=0,"新增",IF(F82=0,"消失",IF(G82&gt;0,"增加",IF(G82&lt;0,"減少","無變化"))))</f>
        <v>無變化</v>
      </c>
    </row>
    <row r="83">
      <c r="A83" s="9" t="inlineStr">
        <is>
          <t>GU-22</t>
        </is>
      </c>
      <c r="B83" s="9" t="inlineStr">
        <is>
          <t>60226F019L</t>
        </is>
      </c>
      <c r="C83" s="9" t="inlineStr">
        <is>
          <t>SMG</t>
        </is>
      </c>
      <c r="D83" s="9" t="inlineStr">
        <is>
          <t>Woven</t>
        </is>
      </c>
      <c r="E83" s="17" t="n">
        <v>5745</v>
      </c>
      <c r="F83" s="17" t="n">
        <v>5745</v>
      </c>
      <c r="G83" s="17">
        <f>F83-E83</f>
        <v>0</v>
      </c>
      <c r="H83" s="18">
        <f>IFERROR(G83/E83,"")</f>
        <v>0.0</v>
      </c>
      <c r="I83" s="9" t="str">
        <f>IF(E83=0,"新增",IF(F83=0,"消失",IF(G83&gt;0,"增加",IF(G83&lt;0,"減少","無變化"))))</f>
        <v>無變化</v>
      </c>
    </row>
    <row r="84">
      <c r="A84" s="9" t="inlineStr">
        <is>
          <t>GU-22</t>
        </is>
      </c>
      <c r="B84" s="9" t="inlineStr">
        <is>
          <t>60226F024B</t>
        </is>
      </c>
      <c r="C84" s="9" t="inlineStr">
        <is>
          <t>SMG</t>
        </is>
      </c>
      <c r="D84" s="9" t="inlineStr">
        <is>
          <t>Woven</t>
        </is>
      </c>
      <c r="E84" s="17" t="n">
        <v>2062</v>
      </c>
      <c r="F84" s="17" t="n">
        <v>2062</v>
      </c>
      <c r="G84" s="17">
        <f>F84-E84</f>
        <v>0</v>
      </c>
      <c r="H84" s="18">
        <f>IFERROR(G84/E84,"")</f>
        <v>0.0</v>
      </c>
      <c r="I84" s="9" t="str">
        <f>IF(E84=0,"新增",IF(F84=0,"消失",IF(G84&gt;0,"增加",IF(G84&lt;0,"減少","無變化"))))</f>
        <v>無變化</v>
      </c>
    </row>
    <row r="85">
      <c r="A85" s="9" t="inlineStr">
        <is>
          <t>GU-22</t>
        </is>
      </c>
      <c r="B85" s="9" t="inlineStr">
        <is>
          <t>60226F026A</t>
        </is>
      </c>
      <c r="C85" s="9" t="inlineStr">
        <is>
          <t>SMG</t>
        </is>
      </c>
      <c r="D85" s="9" t="inlineStr">
        <is>
          <t>Woven</t>
        </is>
      </c>
      <c r="E85" s="17" t="n">
        <v>21253</v>
      </c>
      <c r="F85" s="17" t="n">
        <v>21253</v>
      </c>
      <c r="G85" s="17">
        <f>F85-E85</f>
        <v>0</v>
      </c>
      <c r="H85" s="18">
        <f>IFERROR(G85/E85,"")</f>
        <v>0.0</v>
      </c>
      <c r="I85" s="9" t="str">
        <f>IF(E85=0,"新增",IF(F85=0,"消失",IF(G85&gt;0,"增加",IF(G85&lt;0,"減少","無變化"))))</f>
        <v>無變化</v>
      </c>
    </row>
    <row r="86">
      <c r="A86" s="9" t="inlineStr">
        <is>
          <t>GU-22</t>
        </is>
      </c>
      <c r="B86" s="9" t="inlineStr">
        <is>
          <t>60226F026B</t>
        </is>
      </c>
      <c r="C86" s="9" t="inlineStr">
        <is>
          <t>SMG</t>
        </is>
      </c>
      <c r="D86" s="9" t="inlineStr">
        <is>
          <t>Woven</t>
        </is>
      </c>
      <c r="E86" s="17" t="n">
        <v>4837</v>
      </c>
      <c r="F86" s="17" t="n">
        <v>4837</v>
      </c>
      <c r="G86" s="17">
        <f>F86-E86</f>
        <v>0</v>
      </c>
      <c r="H86" s="18">
        <f>IFERROR(G86/E86,"")</f>
        <v>0.0</v>
      </c>
      <c r="I86" s="9" t="str">
        <f>IF(E86=0,"新增",IF(F86=0,"消失",IF(G86&gt;0,"增加",IF(G86&lt;0,"減少","無變化"))))</f>
        <v>無變化</v>
      </c>
    </row>
    <row r="87">
      <c r="A87" s="9" t="inlineStr">
        <is>
          <t>GU-22</t>
        </is>
      </c>
      <c r="B87" s="9" t="inlineStr">
        <is>
          <t>60226F032A</t>
        </is>
      </c>
      <c r="C87" s="9" t="inlineStr">
        <is>
          <t>CAB</t>
        </is>
      </c>
      <c r="D87" s="9" t="inlineStr">
        <is>
          <t>Woven</t>
        </is>
      </c>
      <c r="E87" s="17" t="n">
        <v>1964</v>
      </c>
      <c r="F87" s="17" t="n">
        <v>1964</v>
      </c>
      <c r="G87" s="17">
        <f>F87-E87</f>
        <v>0</v>
      </c>
      <c r="H87" s="18">
        <f>IFERROR(G87/E87,"")</f>
        <v>0.0</v>
      </c>
      <c r="I87" s="9" t="str">
        <f>IF(E87=0,"新增",IF(F87=0,"消失",IF(G87&gt;0,"增加",IF(G87&lt;0,"減少","無變化"))))</f>
        <v>無變化</v>
      </c>
    </row>
    <row r="88">
      <c r="A88" s="9" t="inlineStr">
        <is>
          <t>GU-22</t>
        </is>
      </c>
      <c r="B88" s="9" t="inlineStr">
        <is>
          <t>60226F032D</t>
        </is>
      </c>
      <c r="C88" s="9" t="inlineStr">
        <is>
          <t>CAB</t>
        </is>
      </c>
      <c r="D88" s="9" t="inlineStr">
        <is>
          <t>Woven</t>
        </is>
      </c>
      <c r="E88" s="17" t="n">
        <v>3007</v>
      </c>
      <c r="F88" s="17" t="n">
        <v>3007</v>
      </c>
      <c r="G88" s="17">
        <f>F88-E88</f>
        <v>0</v>
      </c>
      <c r="H88" s="18">
        <f>IFERROR(G88/E88,"")</f>
        <v>0.0</v>
      </c>
      <c r="I88" s="9" t="str">
        <f>IF(E88=0,"新增",IF(F88=0,"消失",IF(G88&gt;0,"增加",IF(G88&lt;0,"減少","無變化"))))</f>
        <v>無變化</v>
      </c>
    </row>
    <row r="89">
      <c r="A89" s="9" t="inlineStr">
        <is>
          <t>GU-22</t>
        </is>
      </c>
      <c r="B89" s="9" t="inlineStr">
        <is>
          <t>60226F033B</t>
        </is>
      </c>
      <c r="C89" s="9" t="inlineStr">
        <is>
          <t>NVN</t>
        </is>
      </c>
      <c r="D89" s="9" t="inlineStr">
        <is>
          <t>Woven</t>
        </is>
      </c>
      <c r="E89" s="17" t="n">
        <v>491</v>
      </c>
      <c r="F89" s="17" t="n">
        <v>491</v>
      </c>
      <c r="G89" s="17">
        <f>F89-E89</f>
        <v>0</v>
      </c>
      <c r="H89" s="18">
        <f>IFERROR(G89/E89,"")</f>
        <v>0.0</v>
      </c>
      <c r="I89" s="9" t="str">
        <f>IF(E89=0,"新增",IF(F89=0,"消失",IF(G89&gt;0,"增加",IF(G89&lt;0,"減少","無變化"))))</f>
        <v>無變化</v>
      </c>
    </row>
    <row r="90">
      <c r="A90" s="9" t="inlineStr">
        <is>
          <t>GU-22</t>
        </is>
      </c>
      <c r="B90" s="9" t="inlineStr">
        <is>
          <t>60226F037A</t>
        </is>
      </c>
      <c r="C90" s="9" t="inlineStr">
        <is>
          <t>CAB</t>
        </is>
      </c>
      <c r="D90" s="9" t="inlineStr">
        <is>
          <t>Woven</t>
        </is>
      </c>
      <c r="E90" s="17" t="n">
        <v>5352</v>
      </c>
      <c r="F90" s="17" t="n">
        <v>5352</v>
      </c>
      <c r="G90" s="17">
        <f>F90-E90</f>
        <v>0</v>
      </c>
      <c r="H90" s="18">
        <f>IFERROR(G90/E90,"")</f>
        <v>0.0</v>
      </c>
      <c r="I90" s="9" t="str">
        <f>IF(E90=0,"新增",IF(F90=0,"消失",IF(G90&gt;0,"增加",IF(G90&lt;0,"減少","無變化"))))</f>
        <v>無變化</v>
      </c>
    </row>
    <row r="91">
      <c r="A91" s="9" t="inlineStr">
        <is>
          <t>GU-22</t>
        </is>
      </c>
      <c r="B91" s="9" t="inlineStr">
        <is>
          <t>60226F037B</t>
        </is>
      </c>
      <c r="C91" s="9" t="inlineStr">
        <is>
          <t>CAB</t>
        </is>
      </c>
      <c r="D91" s="9" t="inlineStr">
        <is>
          <t>Woven</t>
        </is>
      </c>
      <c r="E91" s="17" t="n">
        <v>933</v>
      </c>
      <c r="F91" s="17" t="n">
        <v>933</v>
      </c>
      <c r="G91" s="17">
        <f>F91-E91</f>
        <v>0</v>
      </c>
      <c r="H91" s="18">
        <f>IFERROR(G91/E91,"")</f>
        <v>0.0</v>
      </c>
      <c r="I91" s="9" t="str">
        <f>IF(E91=0,"新增",IF(F91=0,"消失",IF(G91&gt;0,"增加",IF(G91&lt;0,"減少","無變化"))))</f>
        <v>無變化</v>
      </c>
    </row>
    <row r="92">
      <c r="A92" s="9" t="inlineStr">
        <is>
          <t>GU-22</t>
        </is>
      </c>
      <c r="B92" s="9" t="inlineStr">
        <is>
          <t>60226F051E</t>
        </is>
      </c>
      <c r="C92" s="9" t="inlineStr">
        <is>
          <t>SMG</t>
        </is>
      </c>
      <c r="D92" s="9" t="inlineStr">
        <is>
          <t>Woven</t>
        </is>
      </c>
      <c r="E92" s="17" t="n">
        <v>3826</v>
      </c>
      <c r="F92" s="17" t="n">
        <v>3826</v>
      </c>
      <c r="G92" s="17">
        <f>F92-E92</f>
        <v>0</v>
      </c>
      <c r="H92" s="18">
        <f>IFERROR(G92/E92,"")</f>
        <v>0.0</v>
      </c>
      <c r="I92" s="9" t="str">
        <f>IF(E92=0,"新增",IF(F92=0,"消失",IF(G92&gt;0,"增加",IF(G92&lt;0,"減少","無變化"))))</f>
        <v>無變化</v>
      </c>
    </row>
    <row r="93">
      <c r="A93" s="9" t="inlineStr">
        <is>
          <t>GU-22</t>
        </is>
      </c>
      <c r="B93" s="9" t="inlineStr">
        <is>
          <t>60226F068A</t>
        </is>
      </c>
      <c r="C93" s="9" t="inlineStr">
        <is>
          <t>SMG</t>
        </is>
      </c>
      <c r="D93" s="9" t="inlineStr">
        <is>
          <t>Woven</t>
        </is>
      </c>
      <c r="E93" s="17" t="n">
        <v>124</v>
      </c>
      <c r="F93" s="17" t="n">
        <v>124</v>
      </c>
      <c r="G93" s="17">
        <f>F93-E93</f>
        <v>0</v>
      </c>
      <c r="H93" s="18">
        <f>IFERROR(G93/E93,"")</f>
        <v>0.0</v>
      </c>
      <c r="I93" s="9" t="str">
        <f>IF(E93=0,"新增",IF(F93=0,"消失",IF(G93&gt;0,"增加",IF(G93&lt;0,"減少","無變化"))))</f>
        <v>無變化</v>
      </c>
    </row>
    <row r="94">
      <c r="A94" s="9" t="inlineStr">
        <is>
          <t>GU-22</t>
        </is>
      </c>
      <c r="B94" s="9" t="inlineStr">
        <is>
          <t>60226F069A</t>
        </is>
      </c>
      <c r="C94" s="9" t="inlineStr">
        <is>
          <t>SMG</t>
        </is>
      </c>
      <c r="D94" s="9" t="inlineStr">
        <is>
          <t>Woven</t>
        </is>
      </c>
      <c r="E94" s="17" t="n">
        <v>8525</v>
      </c>
      <c r="F94" s="17" t="n">
        <v>8525</v>
      </c>
      <c r="G94" s="17">
        <f>F94-E94</f>
        <v>0</v>
      </c>
      <c r="H94" s="18">
        <f>IFERROR(G94/E94,"")</f>
        <v>0.0</v>
      </c>
      <c r="I94" s="9" t="str">
        <f>IF(E94=0,"新增",IF(F94=0,"消失",IF(G94&gt;0,"增加",IF(G94&lt;0,"減少","無變化"))))</f>
        <v>無變化</v>
      </c>
    </row>
    <row r="95">
      <c r="A95" s="9" t="inlineStr">
        <is>
          <t>GU-22</t>
        </is>
      </c>
      <c r="B95" s="9" t="inlineStr">
        <is>
          <t>60226F069B</t>
        </is>
      </c>
      <c r="C95" s="9" t="inlineStr">
        <is>
          <t>SMG</t>
        </is>
      </c>
      <c r="D95" s="9" t="inlineStr">
        <is>
          <t>Woven</t>
        </is>
      </c>
      <c r="E95" s="17" t="n">
        <v>84</v>
      </c>
      <c r="F95" s="17" t="n">
        <v>84</v>
      </c>
      <c r="G95" s="17">
        <f>F95-E95</f>
        <v>0</v>
      </c>
      <c r="H95" s="18">
        <f>IFERROR(G95/E95,"")</f>
        <v>0.0</v>
      </c>
      <c r="I95" s="9" t="str">
        <f>IF(E95=0,"新增",IF(F95=0,"消失",IF(G95&gt;0,"增加",IF(G95&lt;0,"減少","無變化"))))</f>
        <v>無變化</v>
      </c>
    </row>
    <row r="96">
      <c r="A96" s="9" t="inlineStr">
        <is>
          <t>GU-22</t>
        </is>
      </c>
      <c r="B96" s="9" t="inlineStr">
        <is>
          <t>60226F069F</t>
        </is>
      </c>
      <c r="C96" s="9" t="inlineStr">
        <is>
          <t>CHN</t>
        </is>
      </c>
      <c r="D96" s="9" t="inlineStr">
        <is>
          <t>Woven</t>
        </is>
      </c>
      <c r="E96" s="17" t="n">
        <v>81</v>
      </c>
      <c r="F96" s="17" t="n">
        <v>81</v>
      </c>
      <c r="G96" s="17">
        <f>F96-E96</f>
        <v>0</v>
      </c>
      <c r="H96" s="18">
        <f>IFERROR(G96/E96,"")</f>
        <v>0.0</v>
      </c>
      <c r="I96" s="9" t="str">
        <f>IF(E96=0,"新增",IF(F96=0,"消失",IF(G96&gt;0,"增加",IF(G96&lt;0,"減少","無變化"))))</f>
        <v>無變化</v>
      </c>
    </row>
    <row r="97">
      <c r="A97" s="9" t="inlineStr">
        <is>
          <t>GU-22</t>
        </is>
      </c>
      <c r="B97" s="9" t="inlineStr">
        <is>
          <t>60226F069H</t>
        </is>
      </c>
      <c r="C97" s="9" t="inlineStr">
        <is>
          <t>SMG</t>
        </is>
      </c>
      <c r="D97" s="9" t="inlineStr">
        <is>
          <t>Woven</t>
        </is>
      </c>
      <c r="E97" s="17" t="n">
        <v>94</v>
      </c>
      <c r="F97" s="17" t="n">
        <v>94</v>
      </c>
      <c r="G97" s="17">
        <f>F97-E97</f>
        <v>0</v>
      </c>
      <c r="H97" s="18">
        <f>IFERROR(G97/E97,"")</f>
        <v>0.0</v>
      </c>
      <c r="I97" s="9" t="str">
        <f>IF(E97=0,"新增",IF(F97=0,"消失",IF(G97&gt;0,"增加",IF(G97&lt;0,"減少","無變化"))))</f>
        <v>無變化</v>
      </c>
    </row>
    <row r="98">
      <c r="A98" s="9" t="inlineStr">
        <is>
          <t>GU-22</t>
        </is>
      </c>
      <c r="B98" s="9" t="inlineStr">
        <is>
          <t>60226F072A</t>
        </is>
      </c>
      <c r="C98" s="9" t="inlineStr">
        <is>
          <t>NVN</t>
        </is>
      </c>
      <c r="D98" s="9" t="inlineStr">
        <is>
          <t>Knit</t>
        </is>
      </c>
      <c r="E98" s="17" t="n">
        <v>20147</v>
      </c>
      <c r="F98" s="17" t="n">
        <v>20147</v>
      </c>
      <c r="G98" s="17">
        <f>F98-E98</f>
        <v>0</v>
      </c>
      <c r="H98" s="18">
        <f>IFERROR(G98/E98,"")</f>
        <v>0.0</v>
      </c>
      <c r="I98" s="9" t="str">
        <f>IF(E98=0,"新增",IF(F98=0,"消失",IF(G98&gt;0,"增加",IF(G98&lt;0,"減少","無變化"))))</f>
        <v>無變化</v>
      </c>
    </row>
    <row r="99">
      <c r="A99" s="9" t="inlineStr">
        <is>
          <t>GU-22</t>
        </is>
      </c>
      <c r="B99" s="9" t="inlineStr">
        <is>
          <t>60226F072C</t>
        </is>
      </c>
      <c r="C99" s="9" t="inlineStr">
        <is>
          <t>NVN</t>
        </is>
      </c>
      <c r="D99" s="9" t="inlineStr">
        <is>
          <t>Knit</t>
        </is>
      </c>
      <c r="E99" s="17" t="n">
        <v>1904</v>
      </c>
      <c r="F99" s="17" t="n">
        <v>1904</v>
      </c>
      <c r="G99" s="17">
        <f>F99-E99</f>
        <v>0</v>
      </c>
      <c r="H99" s="18">
        <f>IFERROR(G99/E99,"")</f>
        <v>0.0</v>
      </c>
      <c r="I99" s="9" t="str">
        <f>IF(E99=0,"新增",IF(F99=0,"消失",IF(G99&gt;0,"增加",IF(G99&lt;0,"減少","無變化"))))</f>
        <v>無變化</v>
      </c>
    </row>
    <row r="100">
      <c r="A100" s="9" t="inlineStr">
        <is>
          <t>GU-22</t>
        </is>
      </c>
      <c r="B100" s="9" t="inlineStr">
        <is>
          <t>60226F072D</t>
        </is>
      </c>
      <c r="C100" s="9" t="inlineStr">
        <is>
          <t>NVN</t>
        </is>
      </c>
      <c r="D100" s="9" t="inlineStr">
        <is>
          <t>Knit</t>
        </is>
      </c>
      <c r="E100" s="17" t="n">
        <v>1056</v>
      </c>
      <c r="F100" s="17" t="n">
        <v>1056</v>
      </c>
      <c r="G100" s="17">
        <f>F100-E100</f>
        <v>0</v>
      </c>
      <c r="H100" s="18">
        <f>IFERROR(G100/E100,"")</f>
        <v>0.0</v>
      </c>
      <c r="I100" s="9" t="str">
        <f>IF(E100=0,"新增",IF(F100=0,"消失",IF(G100&gt;0,"增加",IF(G100&lt;0,"減少","無變化"))))</f>
        <v>無變化</v>
      </c>
    </row>
    <row r="101">
      <c r="A101" s="9" t="inlineStr">
        <is>
          <t>GU-22</t>
        </is>
      </c>
      <c r="B101" s="9" t="inlineStr">
        <is>
          <t>60226F072E</t>
        </is>
      </c>
      <c r="C101" s="9" t="inlineStr">
        <is>
          <t>CHN</t>
        </is>
      </c>
      <c r="D101" s="9" t="inlineStr">
        <is>
          <t>Knit</t>
        </is>
      </c>
      <c r="E101" s="17" t="n">
        <v>13664</v>
      </c>
      <c r="F101" s="17" t="n">
        <v>13664</v>
      </c>
      <c r="G101" s="17">
        <f>F101-E101</f>
        <v>0</v>
      </c>
      <c r="H101" s="18">
        <f>IFERROR(G101/E101,"")</f>
        <v>0.0</v>
      </c>
      <c r="I101" s="9" t="str">
        <f>IF(E101=0,"新增",IF(F101=0,"消失",IF(G101&gt;0,"增加",IF(G101&lt;0,"減少","無變化"))))</f>
        <v>無變化</v>
      </c>
    </row>
    <row r="102">
      <c r="A102" s="9" t="inlineStr">
        <is>
          <t>GU-22</t>
        </is>
      </c>
      <c r="B102" s="9" t="inlineStr">
        <is>
          <t>60226F073A</t>
        </is>
      </c>
      <c r="C102" s="9" t="inlineStr">
        <is>
          <t>SMG</t>
        </is>
      </c>
      <c r="D102" s="9" t="inlineStr">
        <is>
          <t>Knit</t>
        </is>
      </c>
      <c r="E102" s="17" t="n">
        <v>51241</v>
      </c>
      <c r="F102" s="17" t="n">
        <v>51241</v>
      </c>
      <c r="G102" s="17">
        <f>F102-E102</f>
        <v>0</v>
      </c>
      <c r="H102" s="18">
        <f>IFERROR(G102/E102,"")</f>
        <v>0.0</v>
      </c>
      <c r="I102" s="9" t="str">
        <f>IF(E102=0,"新增",IF(F102=0,"消失",IF(G102&gt;0,"增加",IF(G102&lt;0,"減少","無變化"))))</f>
        <v>無變化</v>
      </c>
    </row>
    <row r="103">
      <c r="A103" s="9" t="inlineStr">
        <is>
          <t>GU-22</t>
        </is>
      </c>
      <c r="B103" s="9" t="inlineStr">
        <is>
          <t>60226F073B</t>
        </is>
      </c>
      <c r="C103" s="9" t="inlineStr">
        <is>
          <t>SMG</t>
        </is>
      </c>
      <c r="D103" s="9" t="inlineStr">
        <is>
          <t>Knit</t>
        </is>
      </c>
      <c r="E103" s="17" t="n">
        <v>1656</v>
      </c>
      <c r="F103" s="17" t="n">
        <v>1656</v>
      </c>
      <c r="G103" s="17">
        <f>F103-E103</f>
        <v>0</v>
      </c>
      <c r="H103" s="18">
        <f>IFERROR(G103/E103,"")</f>
        <v>0.0</v>
      </c>
      <c r="I103" s="9" t="str">
        <f>IF(E103=0,"新增",IF(F103=0,"消失",IF(G103&gt;0,"增加",IF(G103&lt;0,"減少","無變化"))))</f>
        <v>無變化</v>
      </c>
    </row>
    <row r="104">
      <c r="A104" s="9" t="inlineStr">
        <is>
          <t>GU-22</t>
        </is>
      </c>
      <c r="B104" s="9" t="inlineStr">
        <is>
          <t>60226F073D</t>
        </is>
      </c>
      <c r="C104" s="9" t="inlineStr">
        <is>
          <t>SMG</t>
        </is>
      </c>
      <c r="D104" s="9" t="inlineStr">
        <is>
          <t>Knit</t>
        </is>
      </c>
      <c r="E104" s="17" t="n">
        <v>2747</v>
      </c>
      <c r="F104" s="17" t="n">
        <v>2747</v>
      </c>
      <c r="G104" s="17">
        <f>F104-E104</f>
        <v>0</v>
      </c>
      <c r="H104" s="18">
        <f>IFERROR(G104/E104,"")</f>
        <v>0.0</v>
      </c>
      <c r="I104" s="9" t="str">
        <f>IF(E104=0,"新增",IF(F104=0,"消失",IF(G104&gt;0,"增加",IF(G104&lt;0,"減少","無變化"))))</f>
        <v>無變化</v>
      </c>
    </row>
    <row r="105">
      <c r="A105" s="9" t="inlineStr">
        <is>
          <t>GU-22</t>
        </is>
      </c>
      <c r="B105" s="9" t="inlineStr">
        <is>
          <t>60226F073F</t>
        </is>
      </c>
      <c r="C105" s="9" t="inlineStr">
        <is>
          <t>CHN</t>
        </is>
      </c>
      <c r="D105" s="9" t="inlineStr">
        <is>
          <t>Knit</t>
        </is>
      </c>
      <c r="E105" s="17" t="n">
        <v>332</v>
      </c>
      <c r="F105" s="17" t="n">
        <v>332</v>
      </c>
      <c r="G105" s="17">
        <f>F105-E105</f>
        <v>0</v>
      </c>
      <c r="H105" s="18">
        <f>IFERROR(G105/E105,"")</f>
        <v>0.0</v>
      </c>
      <c r="I105" s="9" t="str">
        <f>IF(E105=0,"新增",IF(F105=0,"消失",IF(G105&gt;0,"增加",IF(G105&lt;0,"減少","無變化"))))</f>
        <v>無變化</v>
      </c>
    </row>
    <row r="106">
      <c r="A106" s="9" t="inlineStr">
        <is>
          <t>GU-22</t>
        </is>
      </c>
      <c r="B106" s="9" t="inlineStr">
        <is>
          <t>60226F073G</t>
        </is>
      </c>
      <c r="C106" s="9" t="inlineStr">
        <is>
          <t>CHN</t>
        </is>
      </c>
      <c r="D106" s="9" t="inlineStr">
        <is>
          <t>Knit</t>
        </is>
      </c>
      <c r="E106" s="17" t="n">
        <v>646</v>
      </c>
      <c r="F106" s="17" t="n">
        <v>646</v>
      </c>
      <c r="G106" s="17">
        <f>F106-E106</f>
        <v>0</v>
      </c>
      <c r="H106" s="18">
        <f>IFERROR(G106/E106,"")</f>
        <v>0.0</v>
      </c>
      <c r="I106" s="9" t="str">
        <f>IF(E106=0,"新增",IF(F106=0,"消失",IF(G106&gt;0,"增加",IF(G106&lt;0,"減少","無變化"))))</f>
        <v>無變化</v>
      </c>
    </row>
    <row r="107">
      <c r="A107" s="9" t="inlineStr">
        <is>
          <t>GU-22</t>
        </is>
      </c>
      <c r="B107" s="9" t="inlineStr">
        <is>
          <t>60226F075A</t>
        </is>
      </c>
      <c r="C107" s="9" t="inlineStr">
        <is>
          <t>SMG</t>
        </is>
      </c>
      <c r="D107" s="9" t="inlineStr">
        <is>
          <t>Woven</t>
        </is>
      </c>
      <c r="E107" s="17" t="n">
        <v>9539</v>
      </c>
      <c r="F107" s="17" t="n">
        <v>9539</v>
      </c>
      <c r="G107" s="17">
        <f>F107-E107</f>
        <v>0</v>
      </c>
      <c r="H107" s="18">
        <f>IFERROR(G107/E107,"")</f>
        <v>0.0</v>
      </c>
      <c r="I107" s="9" t="str">
        <f>IF(E107=0,"新增",IF(F107=0,"消失",IF(G107&gt;0,"增加",IF(G107&lt;0,"減少","無變化"))))</f>
        <v>無變化</v>
      </c>
    </row>
    <row r="108">
      <c r="A108" s="9" t="inlineStr">
        <is>
          <t>GU-22</t>
        </is>
      </c>
      <c r="B108" s="9" t="inlineStr">
        <is>
          <t>60226F077A</t>
        </is>
      </c>
      <c r="C108" s="9" t="inlineStr">
        <is>
          <t>SMG</t>
        </is>
      </c>
      <c r="D108" s="9" t="inlineStr">
        <is>
          <t>Woven</t>
        </is>
      </c>
      <c r="E108" s="17" t="n">
        <v>11811</v>
      </c>
      <c r="F108" s="17" t="n">
        <v>11811</v>
      </c>
      <c r="G108" s="17">
        <f>F108-E108</f>
        <v>0</v>
      </c>
      <c r="H108" s="18">
        <f>IFERROR(G108/E108,"")</f>
        <v>0.0</v>
      </c>
      <c r="I108" s="9" t="str">
        <f>IF(E108=0,"新增",IF(F108=0,"消失",IF(G108&gt;0,"增加",IF(G108&lt;0,"減少","無變化"))))</f>
        <v>無變化</v>
      </c>
    </row>
    <row r="109">
      <c r="A109" s="9" t="inlineStr">
        <is>
          <t>GU-22</t>
        </is>
      </c>
      <c r="B109" s="9" t="inlineStr">
        <is>
          <t>60226F078B</t>
        </is>
      </c>
      <c r="C109" s="9" t="inlineStr">
        <is>
          <t>CHN</t>
        </is>
      </c>
      <c r="D109" s="9" t="inlineStr">
        <is>
          <t>Knit</t>
        </is>
      </c>
      <c r="E109" s="17" t="n">
        <v>1748</v>
      </c>
      <c r="F109" s="17" t="n">
        <v>1748</v>
      </c>
      <c r="G109" s="17">
        <f>F109-E109</f>
        <v>0</v>
      </c>
      <c r="H109" s="18">
        <f>IFERROR(G109/E109,"")</f>
        <v>0.0</v>
      </c>
      <c r="I109" s="9" t="str">
        <f>IF(E109=0,"新增",IF(F109=0,"消失",IF(G109&gt;0,"增加",IF(G109&lt;0,"減少","無變化"))))</f>
        <v>無變化</v>
      </c>
    </row>
    <row r="110">
      <c r="A110" s="9" t="inlineStr">
        <is>
          <t>GU-22</t>
        </is>
      </c>
      <c r="B110" s="9" t="inlineStr">
        <is>
          <t>60226N030A</t>
        </is>
      </c>
      <c r="C110" s="9" t="inlineStr">
        <is>
          <t>SMG</t>
        </is>
      </c>
      <c r="D110" s="9" t="inlineStr">
        <is>
          <t>Woven</t>
        </is>
      </c>
      <c r="E110" s="17" t="n">
        <v>21348</v>
      </c>
      <c r="F110" s="17" t="n">
        <v>21348</v>
      </c>
      <c r="G110" s="17">
        <f>F110-E110</f>
        <v>0</v>
      </c>
      <c r="H110" s="18">
        <f>IFERROR(G110/E110,"")</f>
        <v>0.0</v>
      </c>
      <c r="I110" s="9" t="str">
        <f>IF(E110=0,"新增",IF(F110=0,"消失",IF(G110&gt;0,"增加",IF(G110&lt;0,"減少","無變化"))))</f>
        <v>無變化</v>
      </c>
    </row>
    <row r="111">
      <c r="A111" s="9" t="inlineStr">
        <is>
          <t>GU-22</t>
        </is>
      </c>
      <c r="B111" s="9" t="inlineStr">
        <is>
          <t>60226N033B</t>
        </is>
      </c>
      <c r="C111" s="9" t="inlineStr">
        <is>
          <t>SMG</t>
        </is>
      </c>
      <c r="D111" s="9" t="inlineStr">
        <is>
          <t>Woven</t>
        </is>
      </c>
      <c r="E111" s="17" t="n">
        <v>3500</v>
      </c>
      <c r="F111" s="17" t="n">
        <v>3500</v>
      </c>
      <c r="G111" s="17">
        <f>F111-E111</f>
        <v>0</v>
      </c>
      <c r="H111" s="18">
        <f>IFERROR(G111/E111,"")</f>
        <v>0.0</v>
      </c>
      <c r="I111" s="9" t="str">
        <f>IF(E111=0,"新增",IF(F111=0,"消失",IF(G111&gt;0,"增加",IF(G111&lt;0,"減少","無變化"))))</f>
        <v>無變化</v>
      </c>
    </row>
    <row r="112">
      <c r="A112" s="9" t="inlineStr">
        <is>
          <t>GU-22</t>
        </is>
      </c>
      <c r="B112" s="9" t="inlineStr">
        <is>
          <t>60227H008B</t>
        </is>
      </c>
      <c r="C112" s="9" t="inlineStr">
        <is>
          <t>SMG</t>
        </is>
      </c>
      <c r="D112" s="9" t="inlineStr">
        <is>
          <t>Woven</t>
        </is>
      </c>
      <c r="E112" s="17" t="n">
        <v>8340</v>
      </c>
      <c r="F112" s="17" t="n">
        <v>8340</v>
      </c>
      <c r="G112" s="17">
        <f>F112-E112</f>
        <v>0</v>
      </c>
      <c r="H112" s="18">
        <f>IFERROR(G112/E112,"")</f>
        <v>0.0</v>
      </c>
      <c r="I112" s="9" t="str">
        <f>IF(E112=0,"新增",IF(F112=0,"消失",IF(G112&gt;0,"增加",IF(G112&lt;0,"減少","無變化"))))</f>
        <v>無變化</v>
      </c>
    </row>
    <row r="113">
      <c r="A113" s="9" t="inlineStr">
        <is>
          <t>GU-22</t>
        </is>
      </c>
      <c r="B113" s="9" t="inlineStr">
        <is>
          <t>60227H046C</t>
        </is>
      </c>
      <c r="C113" s="9" t="inlineStr">
        <is>
          <t>CAB</t>
        </is>
      </c>
      <c r="D113" s="9" t="inlineStr">
        <is>
          <t>Woven</t>
        </is>
      </c>
      <c r="E113" s="17" t="n">
        <v>5153</v>
      </c>
      <c r="F113" s="17" t="n">
        <v>5153</v>
      </c>
      <c r="G113" s="17">
        <f>F113-E113</f>
        <v>0</v>
      </c>
      <c r="H113" s="18">
        <f>IFERROR(G113/E113,"")</f>
        <v>0.0</v>
      </c>
      <c r="I113" s="9" t="str">
        <f>IF(E113=0,"新增",IF(F113=0,"消失",IF(G113&gt;0,"增加",IF(G113&lt;0,"減少","無變化"))))</f>
        <v>無變化</v>
      </c>
    </row>
    <row r="114">
      <c r="A114" s="9" t="inlineStr">
        <is>
          <t>GU-22</t>
        </is>
      </c>
      <c r="B114" s="9" t="inlineStr">
        <is>
          <t>60227H046E</t>
        </is>
      </c>
      <c r="C114" s="9" t="inlineStr">
        <is>
          <t>NVN</t>
        </is>
      </c>
      <c r="D114" s="9" t="inlineStr">
        <is>
          <t>Woven</t>
        </is>
      </c>
      <c r="E114" s="17" t="n">
        <v>2339</v>
      </c>
      <c r="F114" s="17" t="n">
        <v>2339</v>
      </c>
      <c r="G114" s="17">
        <f>F114-E114</f>
        <v>0</v>
      </c>
      <c r="H114" s="18">
        <f>IFERROR(G114/E114,"")</f>
        <v>0.0</v>
      </c>
      <c r="I114" s="9" t="str">
        <f>IF(E114=0,"新增",IF(F114=0,"消失",IF(G114&gt;0,"增加",IF(G114&lt;0,"減少","無變化"))))</f>
        <v>無變化</v>
      </c>
    </row>
    <row r="115">
      <c r="A115" s="9" t="inlineStr">
        <is>
          <t>GU-22</t>
        </is>
      </c>
      <c r="B115" s="9" t="inlineStr">
        <is>
          <t>60227H046F</t>
        </is>
      </c>
      <c r="C115" s="9" t="inlineStr">
        <is>
          <t>NVN</t>
        </is>
      </c>
      <c r="D115" s="9" t="inlineStr">
        <is>
          <t>Woven</t>
        </is>
      </c>
      <c r="E115" s="17" t="n">
        <v>3554</v>
      </c>
      <c r="F115" s="17" t="n">
        <v>3554</v>
      </c>
      <c r="G115" s="17">
        <f>F115-E115</f>
        <v>0</v>
      </c>
      <c r="H115" s="18">
        <f>IFERROR(G115/E115,"")</f>
        <v>0.0</v>
      </c>
      <c r="I115" s="9" t="str">
        <f>IF(E115=0,"新增",IF(F115=0,"消失",IF(G115&gt;0,"增加",IF(G115&lt;0,"減少","無變化"))))</f>
        <v>無變化</v>
      </c>
    </row>
    <row r="116">
      <c r="A116" s="9" t="inlineStr">
        <is>
          <t>GU-22</t>
        </is>
      </c>
      <c r="B116" s="9" t="inlineStr">
        <is>
          <t>60227H046I</t>
        </is>
      </c>
      <c r="C116" s="9" t="inlineStr">
        <is>
          <t>CAB</t>
        </is>
      </c>
      <c r="D116" s="9" t="inlineStr">
        <is>
          <t>Woven</t>
        </is>
      </c>
      <c r="E116" s="17" t="n">
        <v>368</v>
      </c>
      <c r="F116" s="17" t="n">
        <v>368</v>
      </c>
      <c r="G116" s="17">
        <f>F116-E116</f>
        <v>0</v>
      </c>
      <c r="H116" s="18">
        <f>IFERROR(G116/E116,"")</f>
        <v>0.0</v>
      </c>
      <c r="I116" s="9" t="str">
        <f>IF(E116=0,"新增",IF(F116=0,"消失",IF(G116&gt;0,"增加",IF(G116&lt;0,"減少","無變化"))))</f>
        <v>無變化</v>
      </c>
    </row>
    <row r="117">
      <c r="A117" s="9" t="inlineStr">
        <is>
          <t>GU-22</t>
        </is>
      </c>
      <c r="B117" s="9" t="inlineStr">
        <is>
          <t>60227H046J</t>
        </is>
      </c>
      <c r="C117" s="9" t="inlineStr">
        <is>
          <t>CAB</t>
        </is>
      </c>
      <c r="D117" s="9" t="inlineStr">
        <is>
          <t>Woven</t>
        </is>
      </c>
      <c r="E117" s="17" t="n">
        <v>726</v>
      </c>
      <c r="F117" s="17" t="n">
        <v>726</v>
      </c>
      <c r="G117" s="17">
        <f>F117-E117</f>
        <v>0</v>
      </c>
      <c r="H117" s="18">
        <f>IFERROR(G117/E117,"")</f>
        <v>0.0</v>
      </c>
      <c r="I117" s="9" t="str">
        <f>IF(E117=0,"新增",IF(F117=0,"消失",IF(G117&gt;0,"增加",IF(G117&lt;0,"減少","無變化"))))</f>
        <v>無變化</v>
      </c>
    </row>
    <row r="118">
      <c r="A118" s="9" t="inlineStr">
        <is>
          <t>GU-22</t>
        </is>
      </c>
      <c r="B118" s="9" t="inlineStr">
        <is>
          <t>60227H059E</t>
        </is>
      </c>
      <c r="C118" s="9" t="inlineStr">
        <is>
          <t>SMG</t>
        </is>
      </c>
      <c r="D118" s="9" t="inlineStr">
        <is>
          <t>Woven</t>
        </is>
      </c>
      <c r="E118" s="17" t="n">
        <v>3377</v>
      </c>
      <c r="F118" s="17" t="n">
        <v>3377</v>
      </c>
      <c r="G118" s="17">
        <f>F118-E118</f>
        <v>0</v>
      </c>
      <c r="H118" s="18">
        <f>IFERROR(G118/E118,"")</f>
        <v>0.0</v>
      </c>
      <c r="I118" s="9" t="str">
        <f>IF(E118=0,"新增",IF(F118=0,"消失",IF(G118&gt;0,"增加",IF(G118&lt;0,"減少","無變化"))))</f>
        <v>無變化</v>
      </c>
    </row>
    <row r="119">
      <c r="A119" s="9" t="inlineStr">
        <is>
          <t>GU-22</t>
        </is>
      </c>
      <c r="B119" s="9" t="inlineStr">
        <is>
          <t>60227H059F</t>
        </is>
      </c>
      <c r="C119" s="9" t="inlineStr">
        <is>
          <t>SMG</t>
        </is>
      </c>
      <c r="D119" s="9" t="inlineStr">
        <is>
          <t>Woven</t>
        </is>
      </c>
      <c r="E119" s="17" t="n">
        <v>6640</v>
      </c>
      <c r="F119" s="17" t="n">
        <v>6640</v>
      </c>
      <c r="G119" s="17">
        <f>F119-E119</f>
        <v>0</v>
      </c>
      <c r="H119" s="18">
        <f>IFERROR(G119/E119,"")</f>
        <v>0.0</v>
      </c>
      <c r="I119" s="9" t="str">
        <f>IF(E119=0,"新增",IF(F119=0,"消失",IF(G119&gt;0,"增加",IF(G119&lt;0,"減少","無變化"))))</f>
        <v>無變化</v>
      </c>
    </row>
    <row r="120">
      <c r="A120" s="9" t="inlineStr">
        <is>
          <t>GU-22</t>
        </is>
      </c>
      <c r="B120" s="9" t="inlineStr">
        <is>
          <t>60227H059G</t>
        </is>
      </c>
      <c r="C120" s="9" t="inlineStr">
        <is>
          <t>NVN</t>
        </is>
      </c>
      <c r="D120" s="9" t="inlineStr">
        <is>
          <t>Woven</t>
        </is>
      </c>
      <c r="E120" s="17" t="n">
        <v>13124</v>
      </c>
      <c r="F120" s="17" t="n">
        <v>13124</v>
      </c>
      <c r="G120" s="17">
        <f>F120-E120</f>
        <v>0</v>
      </c>
      <c r="H120" s="18">
        <f>IFERROR(G120/E120,"")</f>
        <v>0.0</v>
      </c>
      <c r="I120" s="9" t="str">
        <f>IF(E120=0,"新增",IF(F120=0,"消失",IF(G120&gt;0,"增加",IF(G120&lt;0,"減少","無變化"))))</f>
        <v>無變化</v>
      </c>
    </row>
    <row r="121">
      <c r="A121" s="9" t="inlineStr">
        <is>
          <t>GU-22</t>
        </is>
      </c>
      <c r="B121" s="9" t="inlineStr">
        <is>
          <t>60227H068A</t>
        </is>
      </c>
      <c r="C121" s="9" t="inlineStr">
        <is>
          <t>SMG</t>
        </is>
      </c>
      <c r="D121" s="9" t="inlineStr">
        <is>
          <t>Woven</t>
        </is>
      </c>
      <c r="E121" s="17" t="n">
        <v>12669</v>
      </c>
      <c r="F121" s="17" t="n">
        <v>12669</v>
      </c>
      <c r="G121" s="17">
        <f>F121-E121</f>
        <v>0</v>
      </c>
      <c r="H121" s="18">
        <f>IFERROR(G121/E121,"")</f>
        <v>0.0</v>
      </c>
      <c r="I121" s="9" t="str">
        <f>IF(E121=0,"新增",IF(F121=0,"消失",IF(G121&gt;0,"增加",IF(G121&lt;0,"減少","無變化"))))</f>
        <v>無變化</v>
      </c>
    </row>
    <row r="122">
      <c r="A122" s="9" t="inlineStr">
        <is>
          <t>GU-22</t>
        </is>
      </c>
      <c r="B122" s="9" t="inlineStr">
        <is>
          <t>60227H071A</t>
        </is>
      </c>
      <c r="C122" s="9" t="inlineStr">
        <is>
          <t>SMG</t>
        </is>
      </c>
      <c r="D122" s="9" t="inlineStr">
        <is>
          <t>Woven</t>
        </is>
      </c>
      <c r="E122" s="17" t="n">
        <v>30000</v>
      </c>
      <c r="F122" s="17" t="n">
        <v>30000</v>
      </c>
      <c r="G122" s="17">
        <f>F122-E122</f>
        <v>0</v>
      </c>
      <c r="H122" s="18">
        <f>IFERROR(G122/E122,"")</f>
        <v>0.0</v>
      </c>
      <c r="I122" s="9" t="str">
        <f>IF(E122=0,"新增",IF(F122=0,"消失",IF(G122&gt;0,"增加",IF(G122&lt;0,"減少","無變化"))))</f>
        <v>無變化</v>
      </c>
    </row>
    <row r="123">
      <c r="A123" s="9" t="inlineStr">
        <is>
          <t>GU-22</t>
        </is>
      </c>
      <c r="B123" s="9" t="inlineStr">
        <is>
          <t>60227H073A</t>
        </is>
      </c>
      <c r="C123" s="9" t="inlineStr">
        <is>
          <t>NVN</t>
        </is>
      </c>
      <c r="D123" s="9" t="inlineStr">
        <is>
          <t>Woven</t>
        </is>
      </c>
      <c r="E123" s="17" t="n">
        <v>3417</v>
      </c>
      <c r="F123" s="17" t="n">
        <v>3417</v>
      </c>
      <c r="G123" s="17">
        <f>F123-E123</f>
        <v>0</v>
      </c>
      <c r="H123" s="18">
        <f>IFERROR(G123/E123,"")</f>
        <v>0.0</v>
      </c>
      <c r="I123" s="9" t="str">
        <f>IF(E123=0,"新增",IF(F123=0,"消失",IF(G123&gt;0,"增加",IF(G123&lt;0,"減少","無變化"))))</f>
        <v>無變化</v>
      </c>
    </row>
    <row r="124">
      <c r="A124" s="9" t="inlineStr">
        <is>
          <t>GU-22</t>
        </is>
      </c>
      <c r="B124" s="9" t="inlineStr">
        <is>
          <t>Buffer</t>
        </is>
      </c>
      <c r="C124" s="9" t="inlineStr">
        <is>
          <t>CAB</t>
        </is>
      </c>
      <c r="D124" s="9" t="inlineStr">
        <is>
          <t>Woven</t>
        </is>
      </c>
      <c r="E124" s="17" t="n">
        <v>30989</v>
      </c>
      <c r="F124" s="17" t="n">
        <v>30989</v>
      </c>
      <c r="G124" s="17">
        <f>F124-E124</f>
        <v>0</v>
      </c>
      <c r="H124" s="18">
        <f>IFERROR(G124/E124,"")</f>
        <v>0.0</v>
      </c>
      <c r="I124" s="9" t="str">
        <f>IF(E124=0,"新增",IF(F124=0,"消失",IF(G124&gt;0,"增加",IF(G124&lt;0,"減少","無變化"))))</f>
        <v>無變化</v>
      </c>
    </row>
    <row r="125">
      <c r="A125" s="9" t="inlineStr">
        <is>
          <t>GU-22</t>
        </is>
      </c>
      <c r="B125" s="9" t="inlineStr">
        <is>
          <t>Buffer</t>
        </is>
      </c>
      <c r="C125" s="9" t="inlineStr">
        <is>
          <t>CHN</t>
        </is>
      </c>
      <c r="D125" s="9" t="inlineStr">
        <is>
          <t>Woven</t>
        </is>
      </c>
      <c r="E125" s="17" t="n">
        <v>71020</v>
      </c>
      <c r="F125" s="17" t="n">
        <v>71020</v>
      </c>
      <c r="G125" s="17">
        <f>F125-E125</f>
        <v>0</v>
      </c>
      <c r="H125" s="18">
        <f>IFERROR(G125/E125,"")</f>
        <v>0.0</v>
      </c>
      <c r="I125" s="9" t="str">
        <f>IF(E125=0,"新增",IF(F125=0,"消失",IF(G125&gt;0,"增加",IF(G125&lt;0,"減少","無變化"))))</f>
        <v>無變化</v>
      </c>
    </row>
    <row r="126">
      <c r="A126" s="9" t="inlineStr">
        <is>
          <t>GU-22</t>
        </is>
      </c>
      <c r="B126" s="9" t="inlineStr">
        <is>
          <t>buffer</t>
        </is>
      </c>
      <c r="C126" s="9" t="inlineStr">
        <is>
          <t>SMG</t>
        </is>
      </c>
      <c r="D126" s="9" t="inlineStr">
        <is>
          <t>Woven</t>
        </is>
      </c>
      <c r="E126" s="17" t="n">
        <v>31584</v>
      </c>
      <c r="F126" s="17" t="n">
        <v>31584</v>
      </c>
      <c r="G126" s="17">
        <f>F126-E126</f>
        <v>0</v>
      </c>
      <c r="H126" s="18">
        <f>IFERROR(G126/E126,"")</f>
        <v>0.0</v>
      </c>
      <c r="I126" s="9" t="str">
        <f>IF(E126=0,"新增",IF(F126=0,"消失",IF(G126&gt;0,"增加",IF(G126&lt;0,"減少","無變化"))))</f>
        <v>無變化</v>
      </c>
    </row>
    <row r="127">
      <c r="A127" s="9" t="inlineStr">
        <is>
          <t>GU-22</t>
        </is>
      </c>
      <c r="B127" s="9" t="inlineStr">
        <is>
          <t>60226F051F</t>
        </is>
      </c>
      <c r="C127" s="9" t="inlineStr">
        <is>
          <t>NVN</t>
        </is>
      </c>
      <c r="D127" s="9" t="inlineStr">
        <is>
          <t>Woven</t>
        </is>
      </c>
      <c r="E127" s="17" t="n">
        <v>1028</v>
      </c>
      <c r="F127" s="17" t="n">
        <v>1029</v>
      </c>
      <c r="G127" s="17">
        <f>F127-E127</f>
        <v>1</v>
      </c>
      <c r="H127" s="18">
        <f>IFERROR(G127/E127,"")</f>
        <v>0.0009727626</v>
      </c>
      <c r="I127" s="9" t="str">
        <f>IF(E127=0,"新增",IF(F127=0,"消失",IF(G127&gt;0,"增加",IF(G127&lt;0,"減少","無變化"))))</f>
        <v>增加</v>
      </c>
    </row>
    <row r="128">
      <c r="A128" s="9" t="inlineStr">
        <is>
          <t>GU-22</t>
        </is>
      </c>
      <c r="B128" s="9" t="inlineStr">
        <is>
          <t>60226N030B</t>
        </is>
      </c>
      <c r="C128" s="9" t="inlineStr">
        <is>
          <t>NVN</t>
        </is>
      </c>
      <c r="D128" s="9" t="inlineStr">
        <is>
          <t>Woven</t>
        </is>
      </c>
      <c r="E128" s="17" t="n">
        <v>19592</v>
      </c>
      <c r="F128" s="17" t="n">
        <v>19594</v>
      </c>
      <c r="G128" s="17">
        <f>F128-E128</f>
        <v>2</v>
      </c>
      <c r="H128" s="18">
        <f>IFERROR(G128/E128,"")</f>
        <v>0.0001020825</v>
      </c>
      <c r="I128" s="9" t="str">
        <f>IF(E128=0,"新增",IF(F128=0,"消失",IF(G128&gt;0,"增加",IF(G128&lt;0,"減少","無變化"))))</f>
        <v>增加</v>
      </c>
    </row>
    <row r="129">
      <c r="A129" s="9" t="inlineStr">
        <is>
          <t>GU-22</t>
        </is>
      </c>
      <c r="B129" s="9" t="inlineStr">
        <is>
          <t>60226F031A</t>
        </is>
      </c>
      <c r="C129" s="9" t="inlineStr">
        <is>
          <t>SMG</t>
        </is>
      </c>
      <c r="D129" s="9" t="inlineStr">
        <is>
          <t>Woven</t>
        </is>
      </c>
      <c r="E129" s="17" t="n">
        <v>17436</v>
      </c>
      <c r="F129" s="17" t="n">
        <v>17442</v>
      </c>
      <c r="G129" s="17">
        <f>F129-E129</f>
        <v>6</v>
      </c>
      <c r="H129" s="18">
        <f>IFERROR(G129/E129,"")</f>
        <v>0.0003441156</v>
      </c>
      <c r="I129" s="9" t="str">
        <f>IF(E129=0,"新增",IF(F129=0,"消失",IF(G129&gt;0,"增加",IF(G129&lt;0,"減少","無變化"))))</f>
        <v>增加</v>
      </c>
    </row>
    <row r="130">
      <c r="A130" s="9" t="inlineStr">
        <is>
          <t>GU-22</t>
        </is>
      </c>
      <c r="B130" s="9" t="inlineStr">
        <is>
          <t>60227N002A</t>
        </is>
      </c>
      <c r="C130" s="9" t="inlineStr">
        <is>
          <t>CAB</t>
        </is>
      </c>
      <c r="D130" s="9" t="inlineStr">
        <is>
          <t>Woven</t>
        </is>
      </c>
      <c r="E130" s="17" t="n">
        <v>24000</v>
      </c>
      <c r="F130" s="17" t="n">
        <v>24007</v>
      </c>
      <c r="G130" s="17">
        <f>F130-E130</f>
        <v>7</v>
      </c>
      <c r="H130" s="18">
        <f>IFERROR(G130/E130,"")</f>
        <v>0.0002916667</v>
      </c>
      <c r="I130" s="9" t="str">
        <f>IF(E130=0,"新增",IF(F130=0,"消失",IF(G130&gt;0,"增加",IF(G130&lt;0,"減少","無變化"))))</f>
        <v>增加</v>
      </c>
    </row>
    <row r="131">
      <c r="A131" s="9" t="inlineStr">
        <is>
          <t>GU-22</t>
        </is>
      </c>
      <c r="B131" s="9" t="inlineStr">
        <is>
          <t>60226F034A</t>
        </is>
      </c>
      <c r="C131" s="9" t="inlineStr">
        <is>
          <t>NVN</t>
        </is>
      </c>
      <c r="D131" s="9" t="inlineStr">
        <is>
          <t>Woven</t>
        </is>
      </c>
      <c r="E131" s="17" t="n">
        <v>11374</v>
      </c>
      <c r="F131" s="17" t="n">
        <v>11383</v>
      </c>
      <c r="G131" s="17">
        <f>F131-E131</f>
        <v>9</v>
      </c>
      <c r="H131" s="18">
        <f>IFERROR(G131/E131,"")</f>
        <v>0.0007912784</v>
      </c>
      <c r="I131" s="9" t="str">
        <f>IF(E131=0,"新增",IF(F131=0,"消失",IF(G131&gt;0,"增加",IF(G131&lt;0,"減少","無變化"))))</f>
        <v>增加</v>
      </c>
    </row>
    <row r="132">
      <c r="A132" s="9" t="inlineStr">
        <is>
          <t>GU-22</t>
        </is>
      </c>
      <c r="B132" s="9" t="inlineStr">
        <is>
          <t>60226N033A</t>
        </is>
      </c>
      <c r="C132" s="9" t="inlineStr">
        <is>
          <t>SMG</t>
        </is>
      </c>
      <c r="D132" s="9" t="inlineStr">
        <is>
          <t>Woven</t>
        </is>
      </c>
      <c r="E132" s="17" t="n">
        <v>38994</v>
      </c>
      <c r="F132" s="17" t="n">
        <v>39006</v>
      </c>
      <c r="G132" s="17">
        <f>F132-E132</f>
        <v>12</v>
      </c>
      <c r="H132" s="18">
        <f>IFERROR(G132/E132,"")</f>
        <v>0.0003077397</v>
      </c>
      <c r="I132" s="9" t="str">
        <f>IF(E132=0,"新增",IF(F132=0,"消失",IF(G132&gt;0,"增加",IF(G132&lt;0,"減少","無變化"))))</f>
        <v>增加</v>
      </c>
    </row>
    <row r="133">
      <c r="A133" s="9" t="inlineStr">
        <is>
          <t>GU-22</t>
        </is>
      </c>
      <c r="B133" s="9" t="inlineStr">
        <is>
          <t>60226F081A</t>
        </is>
      </c>
      <c r="C133" s="9" t="inlineStr">
        <is>
          <t>NVN</t>
        </is>
      </c>
      <c r="D133" s="9" t="inlineStr">
        <is>
          <t>Woven</t>
        </is>
      </c>
      <c r="E133" s="17" t="n">
        <v>16840</v>
      </c>
      <c r="F133" s="17" t="n">
        <v>16862</v>
      </c>
      <c r="G133" s="17">
        <f>F133-E133</f>
        <v>22</v>
      </c>
      <c r="H133" s="18">
        <f>IFERROR(G133/E133,"")</f>
        <v>0.0013064133</v>
      </c>
      <c r="I133" s="9" t="str">
        <f>IF(E133=0,"新增",IF(F133=0,"消失",IF(G133&gt;0,"增加",IF(G133&lt;0,"減少","無變化"))))</f>
        <v>增加</v>
      </c>
    </row>
    <row r="134">
      <c r="A134" s="9" t="inlineStr">
        <is>
          <t>GU-22</t>
        </is>
      </c>
      <c r="B134" s="9" t="inlineStr">
        <is>
          <t>60226N030C</t>
        </is>
      </c>
      <c r="C134" s="9" t="inlineStr">
        <is>
          <t>CHN</t>
        </is>
      </c>
      <c r="D134" s="9" t="inlineStr">
        <is>
          <t>Woven</t>
        </is>
      </c>
      <c r="E134" s="17" t="n">
        <v>20103</v>
      </c>
      <c r="F134" s="17" t="n">
        <v>20132</v>
      </c>
      <c r="G134" s="17">
        <f>F134-E134</f>
        <v>29</v>
      </c>
      <c r="H134" s="18">
        <f>IFERROR(G134/E134,"")</f>
        <v>0.0014425708</v>
      </c>
      <c r="I134" s="9" t="str">
        <f>IF(E134=0,"新增",IF(F134=0,"消失",IF(G134&gt;0,"增加",IF(G134&lt;0,"減少","無變化"))))</f>
        <v>增加</v>
      </c>
    </row>
    <row r="135">
      <c r="A135" s="9" t="inlineStr">
        <is>
          <t>GU-22</t>
        </is>
      </c>
      <c r="B135" s="9" t="inlineStr">
        <is>
          <t>60226F024A</t>
        </is>
      </c>
      <c r="C135" s="9" t="inlineStr">
        <is>
          <t>SMG</t>
        </is>
      </c>
      <c r="D135" s="9" t="inlineStr">
        <is>
          <t>Woven</t>
        </is>
      </c>
      <c r="E135" s="17" t="n">
        <v>6699</v>
      </c>
      <c r="F135" s="17" t="n">
        <v>6741</v>
      </c>
      <c r="G135" s="17">
        <f>F135-E135</f>
        <v>42</v>
      </c>
      <c r="H135" s="18">
        <f>IFERROR(G135/E135,"")</f>
        <v>0.0062695925</v>
      </c>
      <c r="I135" s="9" t="str">
        <f>IF(E135=0,"新增",IF(F135=0,"消失",IF(G135&gt;0,"增加",IF(G135&lt;0,"減少","無變化"))))</f>
        <v>增加</v>
      </c>
    </row>
    <row r="136">
      <c r="A136" s="9" t="inlineStr">
        <is>
          <t>GU-22</t>
        </is>
      </c>
      <c r="B136" s="9" t="inlineStr">
        <is>
          <t>60226F069G</t>
        </is>
      </c>
      <c r="C136" s="9" t="inlineStr">
        <is>
          <t>CHN</t>
        </is>
      </c>
      <c r="D136" s="9" t="inlineStr">
        <is>
          <t>Woven</t>
        </is>
      </c>
      <c r="E136" s="17" t="n">
        <v>4677</v>
      </c>
      <c r="F136" s="17" t="n">
        <v>4776</v>
      </c>
      <c r="G136" s="17">
        <f>F136-E136</f>
        <v>99</v>
      </c>
      <c r="H136" s="18">
        <f>IFERROR(G136/E136,"")</f>
        <v>0.021167415</v>
      </c>
      <c r="I136" s="9" t="str">
        <f>IF(E136=0,"新增",IF(F136=0,"消失",IF(G136&gt;0,"增加",IF(G136&lt;0,"減少","無變化"))))</f>
        <v>增加</v>
      </c>
    </row>
    <row r="137">
      <c r="A137" s="9" t="inlineStr">
        <is>
          <t>GU-22</t>
        </is>
      </c>
      <c r="B137" s="9" t="inlineStr">
        <is>
          <t>60226F051A</t>
        </is>
      </c>
      <c r="C137" s="9" t="inlineStr">
        <is>
          <t>SMG</t>
        </is>
      </c>
      <c r="D137" s="9" t="inlineStr">
        <is>
          <t>Woven</t>
        </is>
      </c>
      <c r="E137" s="17" t="n">
        <v>17338</v>
      </c>
      <c r="F137" s="17" t="n">
        <v>17524</v>
      </c>
      <c r="G137" s="17">
        <f>F137-E137</f>
        <v>186</v>
      </c>
      <c r="H137" s="18">
        <f>IFERROR(G137/E137,"")</f>
        <v>0.010727881</v>
      </c>
      <c r="I137" s="9" t="str">
        <f>IF(E137=0,"新增",IF(F137=0,"消失",IF(G137&gt;0,"增加",IF(G137&lt;0,"減少","無變化"))))</f>
        <v>增加</v>
      </c>
    </row>
    <row r="138">
      <c r="A138" s="9" t="inlineStr">
        <is>
          <t>GU-22</t>
        </is>
      </c>
      <c r="B138" s="9" t="inlineStr">
        <is>
          <t>60227H059A</t>
        </is>
      </c>
      <c r="C138" s="9" t="inlineStr">
        <is>
          <t>SMG</t>
        </is>
      </c>
      <c r="D138" s="9" t="inlineStr">
        <is>
          <t>Woven</t>
        </is>
      </c>
      <c r="E138" s="17" t="n">
        <v>63228</v>
      </c>
      <c r="F138" s="17" t="n">
        <v>63828</v>
      </c>
      <c r="G138" s="17">
        <f>F138-E138</f>
        <v>600</v>
      </c>
      <c r="H138" s="18">
        <f>IFERROR(G138/E138,"")</f>
        <v>0.0094894667</v>
      </c>
      <c r="I138" s="9" t="str">
        <f>IF(E138=0,"新增",IF(F138=0,"消失",IF(G138&gt;0,"增加",IF(G138&lt;0,"減少","無變化"))))</f>
        <v>增加</v>
      </c>
    </row>
    <row r="139">
      <c r="A139" s="9" t="inlineStr">
        <is>
          <t>GU-22</t>
        </is>
      </c>
      <c r="B139" s="9" t="inlineStr">
        <is>
          <t>60226F064B</t>
        </is>
      </c>
      <c r="C139" s="9" t="inlineStr">
        <is>
          <t>SMG</t>
        </is>
      </c>
      <c r="D139" s="9" t="inlineStr">
        <is>
          <t>Woven</t>
        </is>
      </c>
      <c r="E139" s="17" t="n">
        <v>2974</v>
      </c>
      <c r="F139" s="17" t="n">
        <v>3616</v>
      </c>
      <c r="G139" s="17">
        <f>F139-E139</f>
        <v>642</v>
      </c>
      <c r="H139" s="18">
        <f>IFERROR(G139/E139,"")</f>
        <v>0.215870881</v>
      </c>
      <c r="I139" s="9" t="str">
        <f>IF(E139=0,"新增",IF(F139=0,"消失",IF(G139&gt;0,"增加",IF(G139&lt;0,"減少","無變化"))))</f>
        <v>增加</v>
      </c>
    </row>
    <row r="140">
      <c r="A140" s="9" t="inlineStr">
        <is>
          <t>GU-22</t>
        </is>
      </c>
      <c r="B140" s="9" t="inlineStr">
        <is>
          <t>60227H012A</t>
        </is>
      </c>
      <c r="C140" s="9" t="inlineStr">
        <is>
          <t>SMG</t>
        </is>
      </c>
      <c r="D140" s="9" t="inlineStr">
        <is>
          <t>Woven</t>
        </is>
      </c>
      <c r="E140" s="17" t="n">
        <v>0</v>
      </c>
      <c r="F140" s="17" t="n">
        <v>810</v>
      </c>
      <c r="G140" s="17">
        <f>F140-E140</f>
        <v>810</v>
      </c>
      <c r="H140" s="18">
        <f>IFERROR(G140/E140,"")</f>
        <v/>
      </c>
      <c r="I140" s="9" t="str">
        <f>IF(E140=0,"新增",IF(F140=0,"消失",IF(G140&gt;0,"增加",IF(G140&lt;0,"減少","無變化"))))</f>
        <v>新增</v>
      </c>
    </row>
    <row r="141">
      <c r="A141" s="9" t="inlineStr">
        <is>
          <t>GU-22</t>
        </is>
      </c>
      <c r="B141" s="9" t="inlineStr">
        <is>
          <t>60226N035B</t>
        </is>
      </c>
      <c r="C141" s="9" t="inlineStr">
        <is>
          <t>CHN</t>
        </is>
      </c>
      <c r="D141" s="9" t="inlineStr">
        <is>
          <t>Woven</t>
        </is>
      </c>
      <c r="E141" s="17" t="n">
        <v>0</v>
      </c>
      <c r="F141" s="17" t="n">
        <v>952</v>
      </c>
      <c r="G141" s="17">
        <f>F141-E141</f>
        <v>952</v>
      </c>
      <c r="H141" s="18">
        <f>IFERROR(G141/E141,"")</f>
        <v/>
      </c>
      <c r="I141" s="9" t="str">
        <f>IF(E141=0,"新增",IF(F141=0,"消失",IF(G141&gt;0,"增加",IF(G141&lt;0,"減少","無變化"))))</f>
        <v>新增</v>
      </c>
    </row>
    <row r="142">
      <c r="A142" s="9" t="inlineStr">
        <is>
          <t>GU-22</t>
        </is>
      </c>
      <c r="B142" s="9" t="inlineStr">
        <is>
          <t>60226F064A</t>
        </is>
      </c>
      <c r="C142" s="9" t="inlineStr">
        <is>
          <t>SMG</t>
        </is>
      </c>
      <c r="D142" s="9" t="inlineStr">
        <is>
          <t>Woven</t>
        </is>
      </c>
      <c r="E142" s="17" t="n">
        <v>8250</v>
      </c>
      <c r="F142" s="17" t="n">
        <v>9926</v>
      </c>
      <c r="G142" s="17">
        <f>F142-E142</f>
        <v>1676</v>
      </c>
      <c r="H142" s="18">
        <f>IFERROR(G142/E142,"")</f>
        <v>0.2031515152</v>
      </c>
      <c r="I142" s="9" t="str">
        <f>IF(E142=0,"新增",IF(F142=0,"消失",IF(G142&gt;0,"增加",IF(G142&lt;0,"減少","無變化"))))</f>
        <v>增加</v>
      </c>
    </row>
    <row r="143">
      <c r="A143" s="9" t="inlineStr">
        <is>
          <t>GU-22</t>
        </is>
      </c>
      <c r="B143" s="9" t="inlineStr">
        <is>
          <t>60227H062A</t>
        </is>
      </c>
      <c r="C143" s="9" t="inlineStr">
        <is>
          <t>SMG</t>
        </is>
      </c>
      <c r="D143" s="9" t="inlineStr">
        <is>
          <t>Woven</t>
        </is>
      </c>
      <c r="E143" s="17" t="n">
        <v>63038</v>
      </c>
      <c r="F143" s="17" t="n">
        <v>65279</v>
      </c>
      <c r="G143" s="17">
        <f>F143-E143</f>
        <v>2241</v>
      </c>
      <c r="H143" s="18">
        <f>IFERROR(G143/E143,"")</f>
        <v>0.0355499857</v>
      </c>
      <c r="I143" s="9" t="str">
        <f>IF(E143=0,"新增",IF(F143=0,"消失",IF(G143&gt;0,"增加",IF(G143&lt;0,"減少","無變化"))))</f>
        <v>增加</v>
      </c>
    </row>
    <row r="144">
      <c r="A144" s="9" t="inlineStr">
        <is>
          <t>GU-22</t>
        </is>
      </c>
      <c r="B144" s="9" t="inlineStr">
        <is>
          <t>60227N014A</t>
        </is>
      </c>
      <c r="C144" s="9" t="inlineStr">
        <is>
          <t>CHN</t>
        </is>
      </c>
      <c r="D144" s="9" t="inlineStr">
        <is>
          <t>Woven</t>
        </is>
      </c>
      <c r="E144" s="17" t="n">
        <v>0</v>
      </c>
      <c r="F144" s="17" t="n">
        <v>2480</v>
      </c>
      <c r="G144" s="17">
        <f>F144-E144</f>
        <v>2480</v>
      </c>
      <c r="H144" s="18">
        <f>IFERROR(G144/E144,"")</f>
        <v/>
      </c>
      <c r="I144" s="9" t="str">
        <f>IF(E144=0,"新增",IF(F144=0,"消失",IF(G144&gt;0,"增加",IF(G144&lt;0,"減少","無變化"))))</f>
        <v>新增</v>
      </c>
    </row>
    <row r="145">
      <c r="A145" s="9" t="inlineStr">
        <is>
          <t>GU-22</t>
        </is>
      </c>
      <c r="B145" s="9" t="inlineStr">
        <is>
          <t>60227H026B</t>
        </is>
      </c>
      <c r="C145" s="9" t="inlineStr">
        <is>
          <t>SMG</t>
        </is>
      </c>
      <c r="D145" s="9" t="inlineStr">
        <is>
          <t>Woven</t>
        </is>
      </c>
      <c r="E145" s="17" t="n">
        <v>4388</v>
      </c>
      <c r="F145" s="17" t="n">
        <v>7963</v>
      </c>
      <c r="G145" s="17">
        <f>F145-E145</f>
        <v>3575</v>
      </c>
      <c r="H145" s="18">
        <f>IFERROR(G145/E145,"")</f>
        <v>0.814721969</v>
      </c>
      <c r="I145" s="9" t="str">
        <f>IF(E145=0,"新增",IF(F145=0,"消失",IF(G145&gt;0,"增加",IF(G145&lt;0,"減少","無變化"))))</f>
        <v>增加</v>
      </c>
    </row>
    <row r="146">
      <c r="A146" s="9" t="inlineStr">
        <is>
          <t>GU-22</t>
        </is>
      </c>
      <c r="B146" s="9" t="inlineStr">
        <is>
          <t>60227N007O</t>
        </is>
      </c>
      <c r="C146" s="9" t="inlineStr">
        <is>
          <t>SMG</t>
        </is>
      </c>
      <c r="D146" s="9" t="inlineStr">
        <is>
          <t>Woven</t>
        </is>
      </c>
      <c r="E146" s="17" t="n">
        <v>0</v>
      </c>
      <c r="F146" s="17" t="n">
        <v>4439</v>
      </c>
      <c r="G146" s="17">
        <f>F146-E146</f>
        <v>4439</v>
      </c>
      <c r="H146" s="18">
        <f>IFERROR(G146/E146,"")</f>
        <v/>
      </c>
      <c r="I146" s="9" t="str">
        <f>IF(E146=0,"新增",IF(F146=0,"消失",IF(G146&gt;0,"增加",IF(G146&lt;0,"減少","無變化"))))</f>
        <v>新增</v>
      </c>
    </row>
    <row r="147">
      <c r="A147" s="9" t="inlineStr">
        <is>
          <t>GU-22</t>
        </is>
      </c>
      <c r="B147" s="9" t="inlineStr">
        <is>
          <t>60227N005A</t>
        </is>
      </c>
      <c r="C147" s="9" t="inlineStr">
        <is>
          <t>SMG</t>
        </is>
      </c>
      <c r="D147" s="9" t="inlineStr">
        <is>
          <t>Woven</t>
        </is>
      </c>
      <c r="E147" s="17" t="n">
        <v>15908</v>
      </c>
      <c r="F147" s="17" t="n">
        <v>25173</v>
      </c>
      <c r="G147" s="17">
        <f>F147-E147</f>
        <v>9265</v>
      </c>
      <c r="H147" s="18">
        <f>IFERROR(G147/E147,"")</f>
        <v>0.5824113654</v>
      </c>
      <c r="I147" s="9" t="str">
        <f>IF(E147=0,"新增",IF(F147=0,"消失",IF(G147&gt;0,"增加",IF(G147&lt;0,"減少","無變化"))))</f>
        <v>增加</v>
      </c>
    </row>
    <row r="148">
      <c r="A148" s="9" t="inlineStr">
        <is>
          <t>GU-22</t>
        </is>
      </c>
      <c r="B148" s="9" t="inlineStr">
        <is>
          <t>60227N007C</t>
        </is>
      </c>
      <c r="C148" s="9" t="inlineStr">
        <is>
          <t>SMG</t>
        </is>
      </c>
      <c r="D148" s="9" t="inlineStr">
        <is>
          <t>Woven</t>
        </is>
      </c>
      <c r="E148" s="17" t="n">
        <v>41746</v>
      </c>
      <c r="F148" s="17" t="n">
        <v>57299</v>
      </c>
      <c r="G148" s="17">
        <f>F148-E148</f>
        <v>15553</v>
      </c>
      <c r="H148" s="18">
        <f>IFERROR(G148/E148,"")</f>
        <v>0.3725626407</v>
      </c>
      <c r="I148" s="9" t="str">
        <f>IF(E148=0,"新增",IF(F148=0,"消失",IF(G148&gt;0,"增加",IF(G148&lt;0,"減少","無變化"))))</f>
        <v>增加</v>
      </c>
    </row>
    <row r="149">
      <c r="A149" s="9" t="inlineStr">
        <is>
          <t>GU-22</t>
        </is>
      </c>
      <c r="B149" s="9" t="inlineStr">
        <is>
          <t>60227H058A</t>
        </is>
      </c>
      <c r="C149" s="9" t="inlineStr">
        <is>
          <t>CHN</t>
        </is>
      </c>
      <c r="D149" s="9" t="inlineStr">
        <is>
          <t>Woven</t>
        </is>
      </c>
      <c r="E149" s="17" t="n">
        <v>0</v>
      </c>
      <c r="F149" s="17" t="n">
        <v>19104</v>
      </c>
      <c r="G149" s="17">
        <f>F149-E149</f>
        <v>19104</v>
      </c>
      <c r="H149" s="18">
        <f>IFERROR(G149/E149,"")</f>
        <v/>
      </c>
      <c r="I149" s="9" t="str">
        <f>IF(E149=0,"新增",IF(F149=0,"消失",IF(G149&gt;0,"增加",IF(G149&lt;0,"減少","無變化"))))</f>
        <v>新增</v>
      </c>
    </row>
    <row r="150">
      <c r="A150" s="9" t="inlineStr">
        <is>
          <t>GU-23</t>
        </is>
      </c>
      <c r="B150" s="9" t="inlineStr">
        <is>
          <t>60236N057A</t>
        </is>
      </c>
      <c r="C150" s="9" t="inlineStr">
        <is>
          <t>NVN</t>
        </is>
      </c>
      <c r="D150" s="9" t="inlineStr">
        <is>
          <t>Woven</t>
        </is>
      </c>
      <c r="E150" s="17" t="n">
        <v>36364</v>
      </c>
      <c r="F150" s="17" t="n">
        <v>0</v>
      </c>
      <c r="G150" s="17">
        <f>F150-E150</f>
        <v>-36364</v>
      </c>
      <c r="H150" s="18">
        <f>IFERROR(G150/E150,"")</f>
        <v>-1.0</v>
      </c>
      <c r="I150" s="9" t="str">
        <f>IF(E150=0,"新增",IF(F150=0,"消失",IF(G150&gt;0,"增加",IF(G150&lt;0,"減少","無變化"))))</f>
        <v>消失</v>
      </c>
    </row>
    <row r="151">
      <c r="A151" s="9" t="inlineStr">
        <is>
          <t>GU-23</t>
        </is>
      </c>
      <c r="B151" s="9" t="inlineStr">
        <is>
          <t>60237N046A</t>
        </is>
      </c>
      <c r="C151" s="9" t="inlineStr">
        <is>
          <t>NVN</t>
        </is>
      </c>
      <c r="D151" s="9" t="inlineStr">
        <is>
          <t>Woven</t>
        </is>
      </c>
      <c r="E151" s="17" t="n">
        <v>23336</v>
      </c>
      <c r="F151" s="17" t="n">
        <v>0</v>
      </c>
      <c r="G151" s="17">
        <f>F151-E151</f>
        <v>-23336</v>
      </c>
      <c r="H151" s="18">
        <f>IFERROR(G151/E151,"")</f>
        <v>-1.0</v>
      </c>
      <c r="I151" s="9" t="str">
        <f>IF(E151=0,"新增",IF(F151=0,"消失",IF(G151&gt;0,"增加",IF(G151&lt;0,"減少","無變化"))))</f>
        <v>消失</v>
      </c>
    </row>
    <row r="152">
      <c r="A152" s="9" t="inlineStr">
        <is>
          <t>GU-23</t>
        </is>
      </c>
      <c r="B152" s="9" t="inlineStr">
        <is>
          <t>60237N018A</t>
        </is>
      </c>
      <c r="C152" s="9" t="inlineStr">
        <is>
          <t>NVN</t>
        </is>
      </c>
      <c r="D152" s="9" t="inlineStr">
        <is>
          <t>Woven</t>
        </is>
      </c>
      <c r="E152" s="17" t="n">
        <v>4916</v>
      </c>
      <c r="F152" s="17" t="n">
        <v>1936</v>
      </c>
      <c r="G152" s="17">
        <f>F152-E152</f>
        <v>-2980</v>
      </c>
      <c r="H152" s="18">
        <f>IFERROR(G152/E152,"")</f>
        <v>-0.6061838893</v>
      </c>
      <c r="I152" s="9" t="str">
        <f>IF(E152=0,"新增",IF(F152=0,"消失",IF(G152&gt;0,"增加",IF(G152&lt;0,"減少","無變化"))))</f>
        <v>減少</v>
      </c>
    </row>
    <row r="153">
      <c r="A153" s="9" t="inlineStr">
        <is>
          <t>GU-23</t>
        </is>
      </c>
      <c r="B153" s="9" t="inlineStr">
        <is>
          <t>60237H010A</t>
        </is>
      </c>
      <c r="C153" s="9" t="inlineStr">
        <is>
          <t>NVN</t>
        </is>
      </c>
      <c r="D153" s="9" t="inlineStr">
        <is>
          <t>Woven</t>
        </is>
      </c>
      <c r="E153" s="17" t="n">
        <v>15305</v>
      </c>
      <c r="F153" s="17" t="n">
        <v>13547</v>
      </c>
      <c r="G153" s="17">
        <f>F153-E153</f>
        <v>-1758</v>
      </c>
      <c r="H153" s="18">
        <f>IFERROR(G153/E153,"")</f>
        <v>-0.1148644234</v>
      </c>
      <c r="I153" s="9" t="str">
        <f>IF(E153=0,"新增",IF(F153=0,"消失",IF(G153&gt;0,"增加",IF(G153&lt;0,"減少","無變化"))))</f>
        <v>減少</v>
      </c>
    </row>
    <row r="154">
      <c r="A154" s="9" t="inlineStr">
        <is>
          <t>GU-23</t>
        </is>
      </c>
      <c r="B154" s="9" t="inlineStr">
        <is>
          <t>60237H004A</t>
        </is>
      </c>
      <c r="C154" s="9" t="inlineStr">
        <is>
          <t>NVN</t>
        </is>
      </c>
      <c r="D154" s="9" t="inlineStr">
        <is>
          <t>Woven</t>
        </is>
      </c>
      <c r="E154" s="17" t="n">
        <v>22741</v>
      </c>
      <c r="F154" s="17" t="n">
        <v>21667</v>
      </c>
      <c r="G154" s="17">
        <f>F154-E154</f>
        <v>-1074</v>
      </c>
      <c r="H154" s="18">
        <f>IFERROR(G154/E154,"")</f>
        <v>-0.0472274746</v>
      </c>
      <c r="I154" s="9" t="str">
        <f>IF(E154=0,"新增",IF(F154=0,"消失",IF(G154&gt;0,"增加",IF(G154&lt;0,"減少","無變化"))))</f>
        <v>減少</v>
      </c>
    </row>
    <row r="155">
      <c r="A155" s="9" t="inlineStr">
        <is>
          <t>GU-23</t>
        </is>
      </c>
      <c r="B155" s="9" t="inlineStr">
        <is>
          <t>60236F014A</t>
        </is>
      </c>
      <c r="C155" s="9" t="inlineStr">
        <is>
          <t>NVN</t>
        </is>
      </c>
      <c r="D155" s="9" t="inlineStr">
        <is>
          <t>Woven</t>
        </is>
      </c>
      <c r="E155" s="17" t="n">
        <v>21560</v>
      </c>
      <c r="F155" s="17" t="n">
        <v>21441</v>
      </c>
      <c r="G155" s="17">
        <f>F155-E155</f>
        <v>-119</v>
      </c>
      <c r="H155" s="18">
        <f>IFERROR(G155/E155,"")</f>
        <v>-0.0055194805</v>
      </c>
      <c r="I155" s="9" t="str">
        <f>IF(E155=0,"新增",IF(F155=0,"消失",IF(G155&gt;0,"增加",IF(G155&lt;0,"減少","無變化"))))</f>
        <v>減少</v>
      </c>
    </row>
    <row r="156">
      <c r="A156" s="9" t="inlineStr">
        <is>
          <t>GU-23</t>
        </is>
      </c>
      <c r="B156" s="9" t="inlineStr">
        <is>
          <t>60237N054A</t>
        </is>
      </c>
      <c r="C156" s="9" t="inlineStr">
        <is>
          <t>NVN</t>
        </is>
      </c>
      <c r="D156" s="9" t="inlineStr">
        <is>
          <t>Woven</t>
        </is>
      </c>
      <c r="E156" s="17" t="n">
        <v>1479</v>
      </c>
      <c r="F156" s="17" t="n">
        <v>1458</v>
      </c>
      <c r="G156" s="17">
        <f>F156-E156</f>
        <v>-21</v>
      </c>
      <c r="H156" s="18">
        <f>IFERROR(G156/E156,"")</f>
        <v>-0.014198783</v>
      </c>
      <c r="I156" s="9" t="str">
        <f>IF(E156=0,"新增",IF(F156=0,"消失",IF(G156&gt;0,"增加",IF(G156&lt;0,"減少","無變化"))))</f>
        <v>減少</v>
      </c>
    </row>
    <row r="157">
      <c r="A157" s="9" t="inlineStr">
        <is>
          <t>GU-23</t>
        </is>
      </c>
      <c r="B157" s="9" t="inlineStr">
        <is>
          <t>60236F007A</t>
        </is>
      </c>
      <c r="C157" s="9" t="inlineStr">
        <is>
          <t>SMG</t>
        </is>
      </c>
      <c r="D157" s="9" t="inlineStr">
        <is>
          <t>Woven</t>
        </is>
      </c>
      <c r="E157" s="17" t="n">
        <v>9359</v>
      </c>
      <c r="F157" s="17" t="n">
        <v>9359</v>
      </c>
      <c r="G157" s="17">
        <f>F157-E157</f>
        <v>0</v>
      </c>
      <c r="H157" s="18">
        <f>IFERROR(G157/E157,"")</f>
        <v>0.0</v>
      </c>
      <c r="I157" s="9" t="str">
        <f>IF(E157=0,"新增",IF(F157=0,"消失",IF(G157&gt;0,"增加",IF(G157&lt;0,"減少","無變化"))))</f>
        <v>無變化</v>
      </c>
    </row>
    <row r="158">
      <c r="A158" s="9" t="inlineStr">
        <is>
          <t>GU-23</t>
        </is>
      </c>
      <c r="B158" s="9" t="inlineStr">
        <is>
          <t>60236F007D</t>
        </is>
      </c>
      <c r="C158" s="9" t="inlineStr">
        <is>
          <t>SMG</t>
        </is>
      </c>
      <c r="D158" s="9" t="inlineStr">
        <is>
          <t>Woven</t>
        </is>
      </c>
      <c r="E158" s="17" t="n">
        <v>3538</v>
      </c>
      <c r="F158" s="17" t="n">
        <v>3538</v>
      </c>
      <c r="G158" s="17">
        <f>F158-E158</f>
        <v>0</v>
      </c>
      <c r="H158" s="18">
        <f>IFERROR(G158/E158,"")</f>
        <v>0.0</v>
      </c>
      <c r="I158" s="9" t="str">
        <f>IF(E158=0,"新增",IF(F158=0,"消失",IF(G158&gt;0,"增加",IF(G158&lt;0,"減少","無變化"))))</f>
        <v>無變化</v>
      </c>
    </row>
    <row r="159">
      <c r="A159" s="9" t="inlineStr">
        <is>
          <t>GU-23</t>
        </is>
      </c>
      <c r="B159" s="9" t="inlineStr">
        <is>
          <t>60236F014B</t>
        </is>
      </c>
      <c r="C159" s="9" t="inlineStr">
        <is>
          <t>CHN</t>
        </is>
      </c>
      <c r="D159" s="9" t="inlineStr">
        <is>
          <t>Woven</t>
        </is>
      </c>
      <c r="E159" s="17" t="n">
        <v>10574</v>
      </c>
      <c r="F159" s="17" t="n">
        <v>10574</v>
      </c>
      <c r="G159" s="17">
        <f>F159-E159</f>
        <v>0</v>
      </c>
      <c r="H159" s="18">
        <f>IFERROR(G159/E159,"")</f>
        <v>0.0</v>
      </c>
      <c r="I159" s="9" t="str">
        <f>IF(E159=0,"新增",IF(F159=0,"消失",IF(G159&gt;0,"增加",IF(G159&lt;0,"減少","無變化"))))</f>
        <v>無變化</v>
      </c>
    </row>
    <row r="160">
      <c r="A160" s="9" t="inlineStr">
        <is>
          <t>GU-23</t>
        </is>
      </c>
      <c r="B160" s="9" t="inlineStr">
        <is>
          <t>60236F025A</t>
        </is>
      </c>
      <c r="C160" s="9" t="inlineStr">
        <is>
          <t>NVN</t>
        </is>
      </c>
      <c r="D160" s="9" t="inlineStr">
        <is>
          <t>Woven</t>
        </is>
      </c>
      <c r="E160" s="17" t="n">
        <v>490</v>
      </c>
      <c r="F160" s="17" t="n">
        <v>490</v>
      </c>
      <c r="G160" s="17">
        <f>F160-E160</f>
        <v>0</v>
      </c>
      <c r="H160" s="18">
        <f>IFERROR(G160/E160,"")</f>
        <v>0.0</v>
      </c>
      <c r="I160" s="9" t="str">
        <f>IF(E160=0,"新增",IF(F160=0,"消失",IF(G160&gt;0,"增加",IF(G160&lt;0,"減少","無變化"))))</f>
        <v>無變化</v>
      </c>
    </row>
    <row r="161">
      <c r="A161" s="9" t="inlineStr">
        <is>
          <t>GU-23</t>
        </is>
      </c>
      <c r="B161" s="9" t="inlineStr">
        <is>
          <t>60236F058A</t>
        </is>
      </c>
      <c r="C161" s="9" t="inlineStr">
        <is>
          <t>NVN</t>
        </is>
      </c>
      <c r="D161" s="9" t="inlineStr">
        <is>
          <t>Woven</t>
        </is>
      </c>
      <c r="E161" s="17" t="n">
        <v>21</v>
      </c>
      <c r="F161" s="17" t="n">
        <v>21</v>
      </c>
      <c r="G161" s="17">
        <f>F161-E161</f>
        <v>0</v>
      </c>
      <c r="H161" s="18">
        <f>IFERROR(G161/E161,"")</f>
        <v>0.0</v>
      </c>
      <c r="I161" s="9" t="str">
        <f>IF(E161=0,"新增",IF(F161=0,"消失",IF(G161&gt;0,"增加",IF(G161&lt;0,"減少","無變化"))))</f>
        <v>無變化</v>
      </c>
    </row>
    <row r="162">
      <c r="A162" s="9" t="inlineStr">
        <is>
          <t>GU-23</t>
        </is>
      </c>
      <c r="B162" s="9" t="inlineStr">
        <is>
          <t>60236F062G</t>
        </is>
      </c>
      <c r="C162" s="9" t="inlineStr">
        <is>
          <t>CHN</t>
        </is>
      </c>
      <c r="D162" s="9" t="inlineStr">
        <is>
          <t>Woven</t>
        </is>
      </c>
      <c r="E162" s="17" t="n">
        <v>6108</v>
      </c>
      <c r="F162" s="17" t="n">
        <v>6108</v>
      </c>
      <c r="G162" s="17">
        <f>F162-E162</f>
        <v>0</v>
      </c>
      <c r="H162" s="18">
        <f>IFERROR(G162/E162,"")</f>
        <v>0.0</v>
      </c>
      <c r="I162" s="9" t="str">
        <f>IF(E162=0,"新增",IF(F162=0,"消失",IF(G162&gt;0,"增加",IF(G162&lt;0,"減少","無變化"))))</f>
        <v>無變化</v>
      </c>
    </row>
    <row r="163">
      <c r="A163" s="9" t="inlineStr">
        <is>
          <t>GU-23</t>
        </is>
      </c>
      <c r="B163" s="9" t="inlineStr">
        <is>
          <t>60237H002D</t>
        </is>
      </c>
      <c r="C163" s="9" t="inlineStr">
        <is>
          <t>NVN</t>
        </is>
      </c>
      <c r="D163" s="9" t="inlineStr">
        <is>
          <t>Woven</t>
        </is>
      </c>
      <c r="E163" s="17" t="n">
        <v>11181</v>
      </c>
      <c r="F163" s="17" t="n">
        <v>11181</v>
      </c>
      <c r="G163" s="17">
        <f>F163-E163</f>
        <v>0</v>
      </c>
      <c r="H163" s="18">
        <f>IFERROR(G163/E163,"")</f>
        <v>0.0</v>
      </c>
      <c r="I163" s="9" t="str">
        <f>IF(E163=0,"新增",IF(F163=0,"消失",IF(G163&gt;0,"增加",IF(G163&lt;0,"減少","無變化"))))</f>
        <v>無變化</v>
      </c>
    </row>
    <row r="164">
      <c r="A164" s="9" t="inlineStr">
        <is>
          <t>GU-23</t>
        </is>
      </c>
      <c r="B164" s="9" t="inlineStr">
        <is>
          <t>60237H008C</t>
        </is>
      </c>
      <c r="C164" s="9" t="inlineStr">
        <is>
          <t>NVN</t>
        </is>
      </c>
      <c r="D164" s="9" t="inlineStr">
        <is>
          <t>Woven</t>
        </is>
      </c>
      <c r="E164" s="17" t="n">
        <v>1398</v>
      </c>
      <c r="F164" s="17" t="n">
        <v>1398</v>
      </c>
      <c r="G164" s="17">
        <f>F164-E164</f>
        <v>0</v>
      </c>
      <c r="H164" s="18">
        <f>IFERROR(G164/E164,"")</f>
        <v>0.0</v>
      </c>
      <c r="I164" s="9" t="str">
        <f>IF(E164=0,"新增",IF(F164=0,"消失",IF(G164&gt;0,"增加",IF(G164&lt;0,"減少","無變化"))))</f>
        <v>無變化</v>
      </c>
    </row>
    <row r="165">
      <c r="A165" s="9" t="inlineStr">
        <is>
          <t>GU-23</t>
        </is>
      </c>
      <c r="B165" s="9" t="inlineStr">
        <is>
          <t>60236F003D</t>
        </is>
      </c>
      <c r="C165" s="9" t="inlineStr">
        <is>
          <t>NVN</t>
        </is>
      </c>
      <c r="D165" s="9" t="inlineStr">
        <is>
          <t>Woven</t>
        </is>
      </c>
      <c r="E165" s="17" t="n">
        <v>13851</v>
      </c>
      <c r="F165" s="17" t="n">
        <v>13852</v>
      </c>
      <c r="G165" s="17">
        <f>F165-E165</f>
        <v>1</v>
      </c>
      <c r="H165" s="18">
        <f>IFERROR(G165/E165,"")</f>
        <v>7.2197e-05</v>
      </c>
      <c r="I165" s="9" t="str">
        <f>IF(E165=0,"新增",IF(F165=0,"消失",IF(G165&gt;0,"增加",IF(G165&lt;0,"減少","無變化"))))</f>
        <v>增加</v>
      </c>
    </row>
    <row r="166">
      <c r="A166" s="9" t="inlineStr">
        <is>
          <t>GU-23</t>
        </is>
      </c>
      <c r="B166" s="9" t="inlineStr">
        <is>
          <t>60236F015A</t>
        </is>
      </c>
      <c r="C166" s="9" t="inlineStr">
        <is>
          <t>NVN</t>
        </is>
      </c>
      <c r="D166" s="9" t="inlineStr">
        <is>
          <t>Woven</t>
        </is>
      </c>
      <c r="E166" s="17" t="n">
        <v>5345</v>
      </c>
      <c r="F166" s="17" t="n">
        <v>5347</v>
      </c>
      <c r="G166" s="17">
        <f>F166-E166</f>
        <v>2</v>
      </c>
      <c r="H166" s="18">
        <f>IFERROR(G166/E166,"")</f>
        <v>0.0003741815</v>
      </c>
      <c r="I166" s="9" t="str">
        <f>IF(E166=0,"新增",IF(F166=0,"消失",IF(G166&gt;0,"增加",IF(G166&lt;0,"減少","無變化"))))</f>
        <v>增加</v>
      </c>
    </row>
    <row r="167">
      <c r="A167" s="9" t="inlineStr">
        <is>
          <t>GU-23</t>
        </is>
      </c>
      <c r="B167" s="9" t="inlineStr">
        <is>
          <t>60237N031A</t>
        </is>
      </c>
      <c r="C167" s="9" t="inlineStr">
        <is>
          <t>NVN</t>
        </is>
      </c>
      <c r="D167" s="9" t="inlineStr">
        <is>
          <t>Woven</t>
        </is>
      </c>
      <c r="E167" s="17" t="n">
        <v>1192</v>
      </c>
      <c r="F167" s="17" t="n">
        <v>1451</v>
      </c>
      <c r="G167" s="17">
        <f>F167-E167</f>
        <v>259</v>
      </c>
      <c r="H167" s="18">
        <f>IFERROR(G167/E167,"")</f>
        <v>0.2172818792</v>
      </c>
      <c r="I167" s="9" t="str">
        <f>IF(E167=0,"新增",IF(F167=0,"消失",IF(G167&gt;0,"增加",IF(G167&lt;0,"減少","無變化"))))</f>
        <v>增加</v>
      </c>
    </row>
    <row r="168">
      <c r="A168" s="9" t="inlineStr">
        <is>
          <t>GU-23</t>
        </is>
      </c>
      <c r="B168" s="9" t="inlineStr">
        <is>
          <t>60237N015C</t>
        </is>
      </c>
      <c r="C168" s="9" t="inlineStr">
        <is>
          <t>NVN</t>
        </is>
      </c>
      <c r="D168" s="9" t="inlineStr">
        <is>
          <t>Woven</t>
        </is>
      </c>
      <c r="E168" s="17" t="n">
        <v>0</v>
      </c>
      <c r="F168" s="17" t="n">
        <v>322</v>
      </c>
      <c r="G168" s="17">
        <f>F168-E168</f>
        <v>322</v>
      </c>
      <c r="H168" s="18">
        <f>IFERROR(G168/E168,"")</f>
        <v/>
      </c>
      <c r="I168" s="9" t="str">
        <f>IF(E168=0,"新增",IF(F168=0,"消失",IF(G168&gt;0,"增加",IF(G168&lt;0,"減少","無變化"))))</f>
        <v>新增</v>
      </c>
    </row>
    <row r="169">
      <c r="A169" s="9" t="inlineStr">
        <is>
          <t>GU-23</t>
        </is>
      </c>
      <c r="B169" s="9" t="inlineStr">
        <is>
          <t>60237H005A</t>
        </is>
      </c>
      <c r="C169" s="9" t="inlineStr">
        <is>
          <t>NVN</t>
        </is>
      </c>
      <c r="D169" s="9" t="inlineStr">
        <is>
          <t>Woven</t>
        </is>
      </c>
      <c r="E169" s="17" t="n">
        <v>27977</v>
      </c>
      <c r="F169" s="17" t="n">
        <v>28422</v>
      </c>
      <c r="G169" s="17">
        <f>F169-E169</f>
        <v>445</v>
      </c>
      <c r="H169" s="18">
        <f>IFERROR(G169/E169,"")</f>
        <v>0.0159059227</v>
      </c>
      <c r="I169" s="9" t="str">
        <f>IF(E169=0,"新增",IF(F169=0,"消失",IF(G169&gt;0,"增加",IF(G169&lt;0,"減少","無變化"))))</f>
        <v>增加</v>
      </c>
    </row>
    <row r="170">
      <c r="A170" s="9" t="inlineStr">
        <is>
          <t>GU-23</t>
        </is>
      </c>
      <c r="B170" s="9" t="inlineStr">
        <is>
          <t>60237N006B</t>
        </is>
      </c>
      <c r="C170" s="9" t="inlineStr">
        <is>
          <t>NVN</t>
        </is>
      </c>
      <c r="D170" s="9" t="inlineStr">
        <is>
          <t>Woven</t>
        </is>
      </c>
      <c r="E170" s="17" t="n">
        <v>0</v>
      </c>
      <c r="F170" s="17" t="n">
        <v>1199</v>
      </c>
      <c r="G170" s="17">
        <f>F170-E170</f>
        <v>1199</v>
      </c>
      <c r="H170" s="18">
        <f>IFERROR(G170/E170,"")</f>
        <v/>
      </c>
      <c r="I170" s="9" t="str">
        <f>IF(E170=0,"新增",IF(F170=0,"消失",IF(G170&gt;0,"增加",IF(G170&lt;0,"減少","無變化"))))</f>
        <v>新增</v>
      </c>
    </row>
    <row r="171">
      <c r="A171" s="9" t="inlineStr">
        <is>
          <t>GU-23</t>
        </is>
      </c>
      <c r="B171" s="9" t="inlineStr">
        <is>
          <t>60237N053A</t>
        </is>
      </c>
      <c r="C171" s="9" t="inlineStr">
        <is>
          <t>NVN</t>
        </is>
      </c>
      <c r="D171" s="9" t="inlineStr">
        <is>
          <t>Woven</t>
        </is>
      </c>
      <c r="E171" s="17" t="n">
        <v>20520</v>
      </c>
      <c r="F171" s="17" t="n">
        <v>25020</v>
      </c>
      <c r="G171" s="17">
        <f>F171-E171</f>
        <v>4500</v>
      </c>
      <c r="H171" s="18">
        <f>IFERROR(G171/E171,"")</f>
        <v>0.2192982456</v>
      </c>
      <c r="I171" s="9" t="str">
        <f>IF(E171=0,"新增",IF(F171=0,"消失",IF(G171&gt;0,"增加",IF(G171&lt;0,"減少","無變化"))))</f>
        <v>增加</v>
      </c>
    </row>
    <row r="172">
      <c r="A172" s="9" t="inlineStr">
        <is>
          <t>GU-23</t>
        </is>
      </c>
      <c r="B172" s="9" t="inlineStr">
        <is>
          <t>60237N007A</t>
        </is>
      </c>
      <c r="C172" s="9" t="inlineStr">
        <is>
          <t>NVN</t>
        </is>
      </c>
      <c r="D172" s="9" t="inlineStr">
        <is>
          <t>Woven</t>
        </is>
      </c>
      <c r="E172" s="17" t="n">
        <v>14802</v>
      </c>
      <c r="F172" s="17" t="n">
        <v>20451</v>
      </c>
      <c r="G172" s="17">
        <f>F172-E172</f>
        <v>5649</v>
      </c>
      <c r="H172" s="18">
        <f>IFERROR(G172/E172,"")</f>
        <v>0.3816376165</v>
      </c>
      <c r="I172" s="9" t="str">
        <f>IF(E172=0,"新增",IF(F172=0,"消失",IF(G172&gt;0,"增加",IF(G172&lt;0,"減少","無變化"))))</f>
        <v>增加</v>
      </c>
    </row>
    <row r="173">
      <c r="A173" s="9" t="inlineStr">
        <is>
          <t>GU-23</t>
        </is>
      </c>
      <c r="B173" s="9" t="inlineStr">
        <is>
          <t>60237N057A</t>
        </is>
      </c>
      <c r="C173" s="9" t="inlineStr">
        <is>
          <t>NVN</t>
        </is>
      </c>
      <c r="D173" s="9" t="inlineStr">
        <is>
          <t>Woven</t>
        </is>
      </c>
      <c r="E173" s="17" t="n">
        <v>10036</v>
      </c>
      <c r="F173" s="17" t="n">
        <v>31651</v>
      </c>
      <c r="G173" s="17">
        <f>F173-E173</f>
        <v>21615</v>
      </c>
      <c r="H173" s="18">
        <f>IFERROR(G173/E173,"")</f>
        <v>2.1537465126</v>
      </c>
      <c r="I173" s="9" t="str">
        <f>IF(E173=0,"新增",IF(F173=0,"消失",IF(G173&gt;0,"增加",IF(G173&lt;0,"減少","無變化"))))</f>
        <v>增加</v>
      </c>
    </row>
    <row r="174">
      <c r="A174" s="9" t="inlineStr">
        <is>
          <t>GU-27</t>
        </is>
      </c>
      <c r="B174" s="9" t="inlineStr">
        <is>
          <t>60277H118A</t>
        </is>
      </c>
      <c r="C174" s="9" t="inlineStr">
        <is>
          <t>SMG</t>
        </is>
      </c>
      <c r="D174" s="9" t="inlineStr">
        <is>
          <t>Knit</t>
        </is>
      </c>
      <c r="E174" s="17" t="n">
        <v>14058</v>
      </c>
      <c r="F174" s="17" t="n">
        <v>14025</v>
      </c>
      <c r="G174" s="17">
        <f>F174-E174</f>
        <v>-33</v>
      </c>
      <c r="H174" s="18">
        <f>IFERROR(G174/E174,"")</f>
        <v>-0.0023474178</v>
      </c>
      <c r="I174" s="9" t="str">
        <f>IF(E174=0,"新增",IF(F174=0,"消失",IF(G174&gt;0,"增加",IF(G174&lt;0,"減少","無變化"))))</f>
        <v>減少</v>
      </c>
    </row>
    <row r="175">
      <c r="A175" s="9" t="inlineStr">
        <is>
          <t>GU-27</t>
        </is>
      </c>
      <c r="B175" s="9" t="inlineStr">
        <is>
          <t>60276F138B</t>
        </is>
      </c>
      <c r="C175" s="9" t="inlineStr">
        <is>
          <t>CAB</t>
        </is>
      </c>
      <c r="D175" s="9" t="inlineStr">
        <is>
          <t>Knit</t>
        </is>
      </c>
      <c r="E175" s="17" t="n">
        <v>45692</v>
      </c>
      <c r="F175" s="17" t="n">
        <v>45692</v>
      </c>
      <c r="G175" s="17">
        <f>F175-E175</f>
        <v>0</v>
      </c>
      <c r="H175" s="18">
        <f>IFERROR(G175/E175,"")</f>
        <v>0.0</v>
      </c>
      <c r="I175" s="9" t="str">
        <f>IF(E175=0,"新增",IF(F175=0,"消失",IF(G175&gt;0,"增加",IF(G175&lt;0,"減少","無變化"))))</f>
        <v>無變化</v>
      </c>
    </row>
    <row r="176">
      <c r="A176" s="9" t="inlineStr">
        <is>
          <t>GU-27</t>
        </is>
      </c>
      <c r="B176" s="9" t="inlineStr">
        <is>
          <t>60276F138B</t>
        </is>
      </c>
      <c r="C176" s="9" t="inlineStr">
        <is>
          <t>CHN</t>
        </is>
      </c>
      <c r="D176" s="9" t="inlineStr">
        <is>
          <t>Knit</t>
        </is>
      </c>
      <c r="E176" s="17" t="n">
        <v>4250</v>
      </c>
      <c r="F176" s="17" t="n">
        <v>4250</v>
      </c>
      <c r="G176" s="17">
        <f>F176-E176</f>
        <v>0</v>
      </c>
      <c r="H176" s="18">
        <f>IFERROR(G176/E176,"")</f>
        <v>0.0</v>
      </c>
      <c r="I176" s="9" t="str">
        <f>IF(E176=0,"新增",IF(F176=0,"消失",IF(G176&gt;0,"增加",IF(G176&lt;0,"減少","無變化"))))</f>
        <v>無變化</v>
      </c>
    </row>
    <row r="177">
      <c r="A177" s="9" t="inlineStr">
        <is>
          <t>GU-27</t>
        </is>
      </c>
      <c r="B177" s="9" t="inlineStr">
        <is>
          <t>60276F152A</t>
        </is>
      </c>
      <c r="C177" s="9" t="inlineStr">
        <is>
          <t>CAB</t>
        </is>
      </c>
      <c r="D177" s="9" t="inlineStr">
        <is>
          <t>Knit</t>
        </is>
      </c>
      <c r="E177" s="17" t="n">
        <v>2500</v>
      </c>
      <c r="F177" s="17" t="n">
        <v>2500</v>
      </c>
      <c r="G177" s="17">
        <f>F177-E177</f>
        <v>0</v>
      </c>
      <c r="H177" s="18">
        <f>IFERROR(G177/E177,"")</f>
        <v>0.0</v>
      </c>
      <c r="I177" s="9" t="str">
        <f>IF(E177=0,"新增",IF(F177=0,"消失",IF(G177&gt;0,"增加",IF(G177&lt;0,"減少","無變化"))))</f>
        <v>無變化</v>
      </c>
    </row>
    <row r="178">
      <c r="A178" s="9" t="inlineStr">
        <is>
          <t>GU-27</t>
        </is>
      </c>
      <c r="B178" s="9" t="inlineStr">
        <is>
          <t>60276H126A</t>
        </is>
      </c>
      <c r="C178" s="9" t="inlineStr">
        <is>
          <t>CAB</t>
        </is>
      </c>
      <c r="D178" s="9" t="inlineStr">
        <is>
          <t>Knit</t>
        </is>
      </c>
      <c r="E178" s="17" t="n">
        <v>2567</v>
      </c>
      <c r="F178" s="17" t="n">
        <v>2567</v>
      </c>
      <c r="G178" s="17">
        <f>F178-E178</f>
        <v>0</v>
      </c>
      <c r="H178" s="18">
        <f>IFERROR(G178/E178,"")</f>
        <v>0.0</v>
      </c>
      <c r="I178" s="9" t="str">
        <f>IF(E178=0,"新增",IF(F178=0,"消失",IF(G178&gt;0,"增加",IF(G178&lt;0,"減少","無變化"))))</f>
        <v>無變化</v>
      </c>
    </row>
    <row r="179">
      <c r="A179" s="9" t="inlineStr">
        <is>
          <t>GU-27</t>
        </is>
      </c>
      <c r="B179" s="9" t="inlineStr">
        <is>
          <t>60276N033A</t>
        </is>
      </c>
      <c r="C179" s="9" t="inlineStr">
        <is>
          <t>SMG</t>
        </is>
      </c>
      <c r="D179" s="9" t="inlineStr">
        <is>
          <t>Knit</t>
        </is>
      </c>
      <c r="E179" s="17" t="n">
        <v>2044</v>
      </c>
      <c r="F179" s="17" t="n">
        <v>2044</v>
      </c>
      <c r="G179" s="17">
        <f>F179-E179</f>
        <v>0</v>
      </c>
      <c r="H179" s="18">
        <f>IFERROR(G179/E179,"")</f>
        <v>0.0</v>
      </c>
      <c r="I179" s="9" t="str">
        <f>IF(E179=0,"新增",IF(F179=0,"消失",IF(G179&gt;0,"增加",IF(G179&lt;0,"減少","無變化"))))</f>
        <v>無變化</v>
      </c>
    </row>
    <row r="180">
      <c r="A180" s="9" t="inlineStr">
        <is>
          <t>GU-27</t>
        </is>
      </c>
      <c r="B180" s="9" t="inlineStr">
        <is>
          <t>60277H118A</t>
        </is>
      </c>
      <c r="C180" s="9" t="inlineStr">
        <is>
          <t>CAB</t>
        </is>
      </c>
      <c r="D180" s="9" t="inlineStr">
        <is>
          <t>Knit</t>
        </is>
      </c>
      <c r="E180" s="17" t="n">
        <v>37199</v>
      </c>
      <c r="F180" s="17" t="n">
        <v>37199</v>
      </c>
      <c r="G180" s="17">
        <f>F180-E180</f>
        <v>0</v>
      </c>
      <c r="H180" s="18">
        <f>IFERROR(G180/E180,"")</f>
        <v>0.0</v>
      </c>
      <c r="I180" s="9" t="str">
        <f>IF(E180=0,"新增",IF(F180=0,"消失",IF(G180&gt;0,"增加",IF(G180&lt;0,"減少","無變化"))))</f>
        <v>無變化</v>
      </c>
    </row>
    <row r="181">
      <c r="A181" s="9" t="inlineStr">
        <is>
          <t>GU-27</t>
        </is>
      </c>
      <c r="B181" s="9" t="inlineStr">
        <is>
          <t>60277H126A</t>
        </is>
      </c>
      <c r="C181" s="9" t="inlineStr">
        <is>
          <t>CAB</t>
        </is>
      </c>
      <c r="D181" s="9" t="inlineStr">
        <is>
          <t>Knit</t>
        </is>
      </c>
      <c r="E181" s="17" t="n">
        <v>1834</v>
      </c>
      <c r="F181" s="17" t="n">
        <v>1834</v>
      </c>
      <c r="G181" s="17">
        <f>F181-E181</f>
        <v>0</v>
      </c>
      <c r="H181" s="18">
        <f>IFERROR(G181/E181,"")</f>
        <v>0.0</v>
      </c>
      <c r="I181" s="9" t="str">
        <f>IF(E181=0,"新增",IF(F181=0,"消失",IF(G181&gt;0,"增加",IF(G181&lt;0,"減少","無變化"))))</f>
        <v>無變化</v>
      </c>
    </row>
    <row r="182">
      <c r="A182" s="9" t="inlineStr">
        <is>
          <t>GU-27</t>
        </is>
      </c>
      <c r="B182" s="9" t="inlineStr">
        <is>
          <t>60277N099A</t>
        </is>
      </c>
      <c r="C182" s="9" t="inlineStr">
        <is>
          <t>CAB</t>
        </is>
      </c>
      <c r="D182" s="9" t="inlineStr">
        <is>
          <t>Knit</t>
        </is>
      </c>
      <c r="E182" s="17" t="n">
        <v>7881</v>
      </c>
      <c r="F182" s="17" t="n">
        <v>7881</v>
      </c>
      <c r="G182" s="17">
        <f>F182-E182</f>
        <v>0</v>
      </c>
      <c r="H182" s="18">
        <f>IFERROR(G182/E182,"")</f>
        <v>0.0</v>
      </c>
      <c r="I182" s="9" t="str">
        <f>IF(E182=0,"新增",IF(F182=0,"消失",IF(G182&gt;0,"增加",IF(G182&lt;0,"減少","無變化"))))</f>
        <v>無變化</v>
      </c>
    </row>
    <row r="183">
      <c r="A183" s="9" t="inlineStr">
        <is>
          <t>GU-27</t>
        </is>
      </c>
      <c r="B183" s="9" t="inlineStr">
        <is>
          <t>60277N103A</t>
        </is>
      </c>
      <c r="C183" s="9" t="inlineStr">
        <is>
          <t>CAB</t>
        </is>
      </c>
      <c r="D183" s="9" t="inlineStr">
        <is>
          <t>Knit</t>
        </is>
      </c>
      <c r="E183" s="17" t="n">
        <v>1324</v>
      </c>
      <c r="F183" s="17" t="n">
        <v>1324</v>
      </c>
      <c r="G183" s="17">
        <f>F183-E183</f>
        <v>0</v>
      </c>
      <c r="H183" s="18">
        <f>IFERROR(G183/E183,"")</f>
        <v>0.0</v>
      </c>
      <c r="I183" s="9" t="str">
        <f>IF(E183=0,"新增",IF(F183=0,"消失",IF(G183&gt;0,"增加",IF(G183&lt;0,"減少","無變化"))))</f>
        <v>無變化</v>
      </c>
    </row>
    <row r="184">
      <c r="A184" s="9" t="inlineStr">
        <is>
          <t>GU-27</t>
        </is>
      </c>
      <c r="B184" s="9" t="inlineStr">
        <is>
          <t>60276F008A</t>
        </is>
      </c>
      <c r="C184" s="9" t="inlineStr">
        <is>
          <t>SMG</t>
        </is>
      </c>
      <c r="D184" s="9" t="inlineStr">
        <is>
          <t>Woven</t>
        </is>
      </c>
      <c r="E184" s="17" t="n">
        <v>2943</v>
      </c>
      <c r="F184" s="17" t="n">
        <v>2982</v>
      </c>
      <c r="G184" s="17">
        <f>F184-E184</f>
        <v>39</v>
      </c>
      <c r="H184" s="18">
        <f>IFERROR(G184/E184,"")</f>
        <v>0.0132517839</v>
      </c>
      <c r="I184" s="9" t="str">
        <f>IF(E184=0,"新增",IF(F184=0,"消失",IF(G184&gt;0,"增加",IF(G184&lt;0,"減少","無變化"))))</f>
        <v>增加</v>
      </c>
    </row>
    <row r="185">
      <c r="A185" s="9" t="inlineStr">
        <is>
          <t>GU-27</t>
        </is>
      </c>
      <c r="B185" s="9" t="inlineStr">
        <is>
          <t>60277N090A</t>
        </is>
      </c>
      <c r="C185" s="9" t="inlineStr">
        <is>
          <t>SMG</t>
        </is>
      </c>
      <c r="D185" s="9" t="inlineStr">
        <is>
          <t>Knit</t>
        </is>
      </c>
      <c r="E185" s="17" t="n">
        <v>30193</v>
      </c>
      <c r="F185" s="17" t="n">
        <v>30827</v>
      </c>
      <c r="G185" s="17">
        <f>F185-E185</f>
        <v>634</v>
      </c>
      <c r="H185" s="18">
        <f>IFERROR(G185/E185,"")</f>
        <v>0.0209982446</v>
      </c>
      <c r="I185" s="9" t="str">
        <f>IF(E185=0,"新增",IF(F185=0,"消失",IF(G185&gt;0,"增加",IF(G185&lt;0,"減少","無變化"))))</f>
        <v>增加</v>
      </c>
    </row>
    <row r="186">
      <c r="A186" s="9" t="inlineStr">
        <is>
          <t>GU-32</t>
        </is>
      </c>
      <c r="B186" s="9" t="inlineStr">
        <is>
          <t>60327H024A</t>
        </is>
      </c>
      <c r="C186" s="9" t="inlineStr">
        <is>
          <t>SMG</t>
        </is>
      </c>
      <c r="D186" s="9" t="inlineStr">
        <is>
          <t>Woven</t>
        </is>
      </c>
      <c r="E186" s="17" t="n">
        <v>76692</v>
      </c>
      <c r="F186" s="17" t="n">
        <v>63908</v>
      </c>
      <c r="G186" s="17">
        <f>F186-E186</f>
        <v>-12784</v>
      </c>
      <c r="H186" s="18">
        <f>IFERROR(G186/E186,"")</f>
        <v>-0.166692745</v>
      </c>
      <c r="I186" s="9" t="str">
        <f>IF(E186=0,"新增",IF(F186=0,"消失",IF(G186&gt;0,"增加",IF(G186&lt;0,"減少","無變化"))))</f>
        <v>減少</v>
      </c>
    </row>
    <row r="187">
      <c r="A187" s="9" t="inlineStr">
        <is>
          <t>GU-32</t>
        </is>
      </c>
      <c r="B187" s="9" t="inlineStr">
        <is>
          <t>60327H098B</t>
        </is>
      </c>
      <c r="C187" s="9" t="inlineStr">
        <is>
          <t>SMG</t>
        </is>
      </c>
      <c r="D187" s="9" t="inlineStr">
        <is>
          <t>Woven</t>
        </is>
      </c>
      <c r="E187" s="17" t="n">
        <v>11187</v>
      </c>
      <c r="F187" s="17" t="n">
        <v>0</v>
      </c>
      <c r="G187" s="17">
        <f>F187-E187</f>
        <v>-11187</v>
      </c>
      <c r="H187" s="18">
        <f>IFERROR(G187/E187,"")</f>
        <v>-1.0</v>
      </c>
      <c r="I187" s="9" t="str">
        <f>IF(E187=0,"新增",IF(F187=0,"消失",IF(G187&gt;0,"增加",IF(G187&lt;0,"減少","無變化"))))</f>
        <v>消失</v>
      </c>
    </row>
    <row r="188">
      <c r="A188" s="9" t="inlineStr">
        <is>
          <t>GU-32</t>
        </is>
      </c>
      <c r="B188" s="9" t="inlineStr">
        <is>
          <t>60327H051A</t>
        </is>
      </c>
      <c r="C188" s="9" t="inlineStr">
        <is>
          <t>SMG</t>
        </is>
      </c>
      <c r="D188" s="9" t="inlineStr">
        <is>
          <t>Woven</t>
        </is>
      </c>
      <c r="E188" s="17" t="n">
        <v>91817</v>
      </c>
      <c r="F188" s="17" t="n">
        <v>86590</v>
      </c>
      <c r="G188" s="17">
        <f>F188-E188</f>
        <v>-5227</v>
      </c>
      <c r="H188" s="18">
        <f>IFERROR(G188/E188,"")</f>
        <v>-0.0569284555</v>
      </c>
      <c r="I188" s="9" t="str">
        <f>IF(E188=0,"新增",IF(F188=0,"消失",IF(G188&gt;0,"增加",IF(G188&lt;0,"減少","無變化"))))</f>
        <v>減少</v>
      </c>
    </row>
    <row r="189">
      <c r="A189" s="9" t="inlineStr">
        <is>
          <t>GU-32</t>
        </is>
      </c>
      <c r="B189" s="9" t="inlineStr">
        <is>
          <t>60327N064A</t>
        </is>
      </c>
      <c r="C189" s="9" t="inlineStr">
        <is>
          <t>SMG</t>
        </is>
      </c>
      <c r="D189" s="9" t="inlineStr">
        <is>
          <t>Woven</t>
        </is>
      </c>
      <c r="E189" s="17" t="n">
        <v>18444</v>
      </c>
      <c r="F189" s="17" t="n">
        <v>13611</v>
      </c>
      <c r="G189" s="17">
        <f>F189-E189</f>
        <v>-4833</v>
      </c>
      <c r="H189" s="18">
        <f>IFERROR(G189/E189,"")</f>
        <v>-0.2620364346</v>
      </c>
      <c r="I189" s="9" t="str">
        <f>IF(E189=0,"新增",IF(F189=0,"消失",IF(G189&gt;0,"增加",IF(G189&lt;0,"減少","無變化"))))</f>
        <v>減少</v>
      </c>
    </row>
    <row r="190">
      <c r="A190" s="9" t="inlineStr">
        <is>
          <t>GU-32</t>
        </is>
      </c>
      <c r="B190" s="9" t="inlineStr">
        <is>
          <t>60326F051C</t>
        </is>
      </c>
      <c r="C190" s="9" t="inlineStr">
        <is>
          <t>SMG</t>
        </is>
      </c>
      <c r="D190" s="9" t="inlineStr">
        <is>
          <t>Woven</t>
        </is>
      </c>
      <c r="E190" s="17" t="n">
        <v>13253</v>
      </c>
      <c r="F190" s="17" t="n">
        <v>8589</v>
      </c>
      <c r="G190" s="17">
        <f>F190-E190</f>
        <v>-4664</v>
      </c>
      <c r="H190" s="18">
        <f>IFERROR(G190/E190,"")</f>
        <v>-0.3519203199</v>
      </c>
      <c r="I190" s="9" t="str">
        <f>IF(E190=0,"新增",IF(F190=0,"消失",IF(G190&gt;0,"增加",IF(G190&lt;0,"減少","無變化"))))</f>
        <v>減少</v>
      </c>
    </row>
    <row r="191">
      <c r="A191" s="9" t="inlineStr">
        <is>
          <t>GU-32</t>
        </is>
      </c>
      <c r="B191" s="9" t="inlineStr">
        <is>
          <t>60327H055A</t>
        </is>
      </c>
      <c r="C191" s="9" t="inlineStr">
        <is>
          <t>SMG</t>
        </is>
      </c>
      <c r="D191" s="9" t="inlineStr">
        <is>
          <t>Woven</t>
        </is>
      </c>
      <c r="E191" s="17" t="n">
        <v>56750</v>
      </c>
      <c r="F191" s="17" t="n">
        <v>54307</v>
      </c>
      <c r="G191" s="17">
        <f>F191-E191</f>
        <v>-2443</v>
      </c>
      <c r="H191" s="18">
        <f>IFERROR(G191/E191,"")</f>
        <v>-0.0430484581</v>
      </c>
      <c r="I191" s="9" t="str">
        <f>IF(E191=0,"新增",IF(F191=0,"消失",IF(G191&gt;0,"增加",IF(G191&lt;0,"減少","無變化"))))</f>
        <v>減少</v>
      </c>
    </row>
    <row r="192">
      <c r="A192" s="9" t="inlineStr">
        <is>
          <t>GU-32</t>
        </is>
      </c>
      <c r="B192" s="9" t="inlineStr">
        <is>
          <t>60327H092A</t>
        </is>
      </c>
      <c r="C192" s="9" t="inlineStr">
        <is>
          <t>SMG</t>
        </is>
      </c>
      <c r="D192" s="9" t="inlineStr">
        <is>
          <t>Woven</t>
        </is>
      </c>
      <c r="E192" s="17" t="n">
        <v>5086</v>
      </c>
      <c r="F192" s="17" t="n">
        <v>2689</v>
      </c>
      <c r="G192" s="17">
        <f>F192-E192</f>
        <v>-2397</v>
      </c>
      <c r="H192" s="18">
        <f>IFERROR(G192/E192,"")</f>
        <v>-0.4712937475</v>
      </c>
      <c r="I192" s="9" t="str">
        <f>IF(E192=0,"新增",IF(F192=0,"消失",IF(G192&gt;0,"增加",IF(G192&lt;0,"減少","無變化"))))</f>
        <v>減少</v>
      </c>
    </row>
    <row r="193">
      <c r="A193" s="9" t="inlineStr">
        <is>
          <t>GU-32</t>
        </is>
      </c>
      <c r="B193" s="9" t="inlineStr">
        <is>
          <t>60327H055D</t>
        </is>
      </c>
      <c r="C193" s="9" t="inlineStr">
        <is>
          <t>SMG</t>
        </is>
      </c>
      <c r="D193" s="9" t="inlineStr">
        <is>
          <t>Woven</t>
        </is>
      </c>
      <c r="E193" s="17" t="n">
        <v>30163</v>
      </c>
      <c r="F193" s="17" t="n">
        <v>30097</v>
      </c>
      <c r="G193" s="17">
        <f>F193-E193</f>
        <v>-66</v>
      </c>
      <c r="H193" s="18">
        <f>IFERROR(G193/E193,"")</f>
        <v>-0.0021881113</v>
      </c>
      <c r="I193" s="9" t="str">
        <f>IF(E193=0,"新增",IF(F193=0,"消失",IF(G193&gt;0,"增加",IF(G193&lt;0,"減少","無變化"))))</f>
        <v>減少</v>
      </c>
    </row>
    <row r="194">
      <c r="A194" s="9" t="inlineStr">
        <is>
          <t>GU-32</t>
        </is>
      </c>
      <c r="B194" s="9" t="inlineStr">
        <is>
          <t>60326F065A</t>
        </is>
      </c>
      <c r="C194" s="9" t="inlineStr">
        <is>
          <t>SMG</t>
        </is>
      </c>
      <c r="D194" s="9" t="inlineStr">
        <is>
          <t>Woven</t>
        </is>
      </c>
      <c r="E194" s="17" t="n">
        <v>20319</v>
      </c>
      <c r="F194" s="17" t="n">
        <v>20290</v>
      </c>
      <c r="G194" s="17">
        <f>F194-E194</f>
        <v>-29</v>
      </c>
      <c r="H194" s="18">
        <f>IFERROR(G194/E194,"")</f>
        <v>-0.0014272356</v>
      </c>
      <c r="I194" s="9" t="str">
        <f>IF(E194=0,"新增",IF(F194=0,"消失",IF(G194&gt;0,"增加",IF(G194&lt;0,"減少","無變化"))))</f>
        <v>減少</v>
      </c>
    </row>
    <row r="195">
      <c r="A195" s="9" t="inlineStr">
        <is>
          <t>GU-32</t>
        </is>
      </c>
      <c r="B195" s="9" t="inlineStr">
        <is>
          <t>60326F051D</t>
        </is>
      </c>
      <c r="C195" s="9" t="inlineStr">
        <is>
          <t>SMG</t>
        </is>
      </c>
      <c r="D195" s="9" t="inlineStr">
        <is>
          <t>Woven</t>
        </is>
      </c>
      <c r="E195" s="17" t="n">
        <v>597</v>
      </c>
      <c r="F195" s="17" t="n">
        <v>597</v>
      </c>
      <c r="G195" s="17">
        <f>F195-E195</f>
        <v>0</v>
      </c>
      <c r="H195" s="18">
        <f>IFERROR(G195/E195,"")</f>
        <v>0.0</v>
      </c>
      <c r="I195" s="9" t="str">
        <f>IF(E195=0,"新增",IF(F195=0,"消失",IF(G195&gt;0,"增加",IF(G195&lt;0,"減少","無變化"))))</f>
        <v>無變化</v>
      </c>
    </row>
    <row r="196">
      <c r="A196" s="9" t="inlineStr">
        <is>
          <t>GU-32</t>
        </is>
      </c>
      <c r="B196" s="9" t="inlineStr">
        <is>
          <t>60326F051F</t>
        </is>
      </c>
      <c r="C196" s="9" t="inlineStr">
        <is>
          <t>SMG</t>
        </is>
      </c>
      <c r="D196" s="9" t="inlineStr">
        <is>
          <t>Woven</t>
        </is>
      </c>
      <c r="E196" s="17" t="n">
        <v>180</v>
      </c>
      <c r="F196" s="17" t="n">
        <v>180</v>
      </c>
      <c r="G196" s="17">
        <f>F196-E196</f>
        <v>0</v>
      </c>
      <c r="H196" s="18">
        <f>IFERROR(G196/E196,"")</f>
        <v>0.0</v>
      </c>
      <c r="I196" s="9" t="str">
        <f>IF(E196=0,"新增",IF(F196=0,"消失",IF(G196&gt;0,"增加",IF(G196&lt;0,"減少","無變化"))))</f>
        <v>無變化</v>
      </c>
    </row>
    <row r="197">
      <c r="A197" s="9" t="inlineStr">
        <is>
          <t>GU-32</t>
        </is>
      </c>
      <c r="B197" s="9" t="inlineStr">
        <is>
          <t>60326F065B</t>
        </is>
      </c>
      <c r="C197" s="9" t="inlineStr">
        <is>
          <t>SMG</t>
        </is>
      </c>
      <c r="D197" s="9" t="inlineStr">
        <is>
          <t>Woven</t>
        </is>
      </c>
      <c r="E197" s="17" t="n">
        <v>263</v>
      </c>
      <c r="F197" s="17" t="n">
        <v>263</v>
      </c>
      <c r="G197" s="17">
        <f>F197-E197</f>
        <v>0</v>
      </c>
      <c r="H197" s="18">
        <f>IFERROR(G197/E197,"")</f>
        <v>0.0</v>
      </c>
      <c r="I197" s="9" t="str">
        <f>IF(E197=0,"新增",IF(F197=0,"消失",IF(G197&gt;0,"增加",IF(G197&lt;0,"減少","無變化"))))</f>
        <v>無變化</v>
      </c>
    </row>
    <row r="198">
      <c r="A198" s="9" t="inlineStr">
        <is>
          <t>GU-32</t>
        </is>
      </c>
      <c r="B198" s="9" t="inlineStr">
        <is>
          <t>60326F073B</t>
        </is>
      </c>
      <c r="C198" s="9" t="inlineStr">
        <is>
          <t>SMG</t>
        </is>
      </c>
      <c r="D198" s="9" t="inlineStr">
        <is>
          <t>Woven</t>
        </is>
      </c>
      <c r="E198" s="17" t="n">
        <v>518</v>
      </c>
      <c r="F198" s="17" t="n">
        <v>518</v>
      </c>
      <c r="G198" s="17">
        <f>F198-E198</f>
        <v>0</v>
      </c>
      <c r="H198" s="18">
        <f>IFERROR(G198/E198,"")</f>
        <v>0.0</v>
      </c>
      <c r="I198" s="9" t="str">
        <f>IF(E198=0,"新增",IF(F198=0,"消失",IF(G198&gt;0,"增加",IF(G198&lt;0,"減少","無變化"))))</f>
        <v>無變化</v>
      </c>
    </row>
    <row r="199">
      <c r="A199" s="9" t="inlineStr">
        <is>
          <t>GU-32</t>
        </is>
      </c>
      <c r="B199" s="9" t="inlineStr">
        <is>
          <t>60326F073C</t>
        </is>
      </c>
      <c r="C199" s="9" t="inlineStr">
        <is>
          <t>SMG</t>
        </is>
      </c>
      <c r="D199" s="9" t="inlineStr">
        <is>
          <t>Woven</t>
        </is>
      </c>
      <c r="E199" s="17" t="n">
        <v>762</v>
      </c>
      <c r="F199" s="17" t="n">
        <v>762</v>
      </c>
      <c r="G199" s="17">
        <f>F199-E199</f>
        <v>0</v>
      </c>
      <c r="H199" s="18">
        <f>IFERROR(G199/E199,"")</f>
        <v>0.0</v>
      </c>
      <c r="I199" s="9" t="str">
        <f>IF(E199=0,"新增",IF(F199=0,"消失",IF(G199&gt;0,"增加",IF(G199&lt;0,"減少","無變化"))))</f>
        <v>無變化</v>
      </c>
    </row>
    <row r="200">
      <c r="A200" s="9" t="inlineStr">
        <is>
          <t>GU-32</t>
        </is>
      </c>
      <c r="B200" s="9" t="inlineStr">
        <is>
          <t>60326F078A</t>
        </is>
      </c>
      <c r="C200" s="9" t="inlineStr">
        <is>
          <t>SMG</t>
        </is>
      </c>
      <c r="D200" s="9" t="inlineStr">
        <is>
          <t>Knit</t>
        </is>
      </c>
      <c r="E200" s="17" t="n">
        <v>17616</v>
      </c>
      <c r="F200" s="17" t="n">
        <v>17616</v>
      </c>
      <c r="G200" s="17">
        <f>F200-E200</f>
        <v>0</v>
      </c>
      <c r="H200" s="18">
        <f>IFERROR(G200/E200,"")</f>
        <v>0.0</v>
      </c>
      <c r="I200" s="9" t="str">
        <f>IF(E200=0,"新增",IF(F200=0,"消失",IF(G200&gt;0,"增加",IF(G200&lt;0,"減少","無變化"))))</f>
        <v>無變化</v>
      </c>
    </row>
    <row r="201">
      <c r="A201" s="9" t="inlineStr">
        <is>
          <t>GU-32</t>
        </is>
      </c>
      <c r="B201" s="9" t="inlineStr">
        <is>
          <t>60326N024C</t>
        </is>
      </c>
      <c r="C201" s="9" t="inlineStr">
        <is>
          <t>SMG</t>
        </is>
      </c>
      <c r="D201" s="9" t="inlineStr">
        <is>
          <t>Woven</t>
        </is>
      </c>
      <c r="E201" s="17" t="n">
        <v>239</v>
      </c>
      <c r="F201" s="17" t="n">
        <v>239</v>
      </c>
      <c r="G201" s="17">
        <f>F201-E201</f>
        <v>0</v>
      </c>
      <c r="H201" s="18">
        <f>IFERROR(G201/E201,"")</f>
        <v>0.0</v>
      </c>
      <c r="I201" s="9" t="str">
        <f>IF(E201=0,"新增",IF(F201=0,"消失",IF(G201&gt;0,"增加",IF(G201&lt;0,"減少","無變化"))))</f>
        <v>無變化</v>
      </c>
    </row>
    <row r="202">
      <c r="A202" s="9" t="inlineStr">
        <is>
          <t>GU-32</t>
        </is>
      </c>
      <c r="B202" s="9" t="inlineStr">
        <is>
          <t>60326N064B</t>
        </is>
      </c>
      <c r="C202" s="9" t="inlineStr">
        <is>
          <t>NVN</t>
        </is>
      </c>
      <c r="D202" s="9" t="inlineStr">
        <is>
          <t>Woven</t>
        </is>
      </c>
      <c r="E202" s="17" t="n">
        <v>2089</v>
      </c>
      <c r="F202" s="17" t="n">
        <v>2089</v>
      </c>
      <c r="G202" s="17">
        <f>F202-E202</f>
        <v>0</v>
      </c>
      <c r="H202" s="18">
        <f>IFERROR(G202/E202,"")</f>
        <v>0.0</v>
      </c>
      <c r="I202" s="9" t="str">
        <f>IF(E202=0,"新增",IF(F202=0,"消失",IF(G202&gt;0,"增加",IF(G202&lt;0,"減少","無變化"))))</f>
        <v>無變化</v>
      </c>
    </row>
    <row r="203">
      <c r="A203" s="9" t="inlineStr">
        <is>
          <t>GU-32</t>
        </is>
      </c>
      <c r="B203" s="9" t="inlineStr">
        <is>
          <t>60327H024B</t>
        </is>
      </c>
      <c r="C203" s="9" t="inlineStr">
        <is>
          <t>SMG</t>
        </is>
      </c>
      <c r="D203" s="9" t="inlineStr">
        <is>
          <t>Woven</t>
        </is>
      </c>
      <c r="E203" s="17" t="n">
        <v>2904</v>
      </c>
      <c r="F203" s="17" t="n">
        <v>2904</v>
      </c>
      <c r="G203" s="17">
        <f>F203-E203</f>
        <v>0</v>
      </c>
      <c r="H203" s="18">
        <f>IFERROR(G203/E203,"")</f>
        <v>0.0</v>
      </c>
      <c r="I203" s="9" t="str">
        <f>IF(E203=0,"新增",IF(F203=0,"消失",IF(G203&gt;0,"增加",IF(G203&lt;0,"減少","無變化"))))</f>
        <v>無變化</v>
      </c>
    </row>
    <row r="204">
      <c r="A204" s="9" t="inlineStr">
        <is>
          <t>GU-32</t>
        </is>
      </c>
      <c r="B204" s="9" t="inlineStr">
        <is>
          <t>60327H051B</t>
        </is>
      </c>
      <c r="C204" s="9" t="inlineStr">
        <is>
          <t>SMG</t>
        </is>
      </c>
      <c r="D204" s="9" t="inlineStr">
        <is>
          <t>Woven</t>
        </is>
      </c>
      <c r="E204" s="17" t="n">
        <v>2516</v>
      </c>
      <c r="F204" s="17" t="n">
        <v>2516</v>
      </c>
      <c r="G204" s="17">
        <f>F204-E204</f>
        <v>0</v>
      </c>
      <c r="H204" s="18">
        <f>IFERROR(G204/E204,"")</f>
        <v>0.0</v>
      </c>
      <c r="I204" s="9" t="str">
        <f>IF(E204=0,"新增",IF(F204=0,"消失",IF(G204&gt;0,"增加",IF(G204&lt;0,"減少","無變化"))))</f>
        <v>無變化</v>
      </c>
    </row>
    <row r="205">
      <c r="A205" s="9" t="inlineStr">
        <is>
          <t>GU-32</t>
        </is>
      </c>
      <c r="B205" s="9" t="inlineStr">
        <is>
          <t>60327H055B</t>
        </is>
      </c>
      <c r="C205" s="9" t="inlineStr">
        <is>
          <t>SMG</t>
        </is>
      </c>
      <c r="D205" s="9" t="inlineStr">
        <is>
          <t>Woven</t>
        </is>
      </c>
      <c r="E205" s="17" t="n">
        <v>1357</v>
      </c>
      <c r="F205" s="17" t="n">
        <v>1357</v>
      </c>
      <c r="G205" s="17">
        <f>F205-E205</f>
        <v>0</v>
      </c>
      <c r="H205" s="18">
        <f>IFERROR(G205/E205,"")</f>
        <v>0.0</v>
      </c>
      <c r="I205" s="9" t="str">
        <f>IF(E205=0,"新增",IF(F205=0,"消失",IF(G205&gt;0,"增加",IF(G205&lt;0,"減少","無變化"))))</f>
        <v>無變化</v>
      </c>
    </row>
    <row r="206">
      <c r="A206" s="9" t="inlineStr">
        <is>
          <t>GU-32</t>
        </is>
      </c>
      <c r="B206" s="9" t="inlineStr">
        <is>
          <t>60327H055C</t>
        </is>
      </c>
      <c r="C206" s="9" t="inlineStr">
        <is>
          <t>SMG</t>
        </is>
      </c>
      <c r="D206" s="9" t="inlineStr">
        <is>
          <t>Woven</t>
        </is>
      </c>
      <c r="E206" s="17" t="n">
        <v>2869</v>
      </c>
      <c r="F206" s="17" t="n">
        <v>2869</v>
      </c>
      <c r="G206" s="17">
        <f>F206-E206</f>
        <v>0</v>
      </c>
      <c r="H206" s="18">
        <f>IFERROR(G206/E206,"")</f>
        <v>0.0</v>
      </c>
      <c r="I206" s="9" t="str">
        <f>IF(E206=0,"新增",IF(F206=0,"消失",IF(G206&gt;0,"增加",IF(G206&lt;0,"減少","無變化"))))</f>
        <v>無變化</v>
      </c>
    </row>
    <row r="207">
      <c r="A207" s="9" t="inlineStr">
        <is>
          <t>GU-32</t>
        </is>
      </c>
      <c r="B207" s="9" t="inlineStr">
        <is>
          <t>60327H055E</t>
        </is>
      </c>
      <c r="C207" s="9" t="inlineStr">
        <is>
          <t>SMG</t>
        </is>
      </c>
      <c r="D207" s="9" t="inlineStr">
        <is>
          <t>Woven</t>
        </is>
      </c>
      <c r="E207" s="17" t="n">
        <v>704</v>
      </c>
      <c r="F207" s="17" t="n">
        <v>704</v>
      </c>
      <c r="G207" s="17">
        <f>F207-E207</f>
        <v>0</v>
      </c>
      <c r="H207" s="18">
        <f>IFERROR(G207/E207,"")</f>
        <v>0.0</v>
      </c>
      <c r="I207" s="9" t="str">
        <f>IF(E207=0,"新增",IF(F207=0,"消失",IF(G207&gt;0,"增加",IF(G207&lt;0,"減少","無變化"))))</f>
        <v>無變化</v>
      </c>
    </row>
    <row r="208">
      <c r="A208" s="9" t="inlineStr">
        <is>
          <t>GU-32</t>
        </is>
      </c>
      <c r="B208" s="9" t="inlineStr">
        <is>
          <t>60327H055F</t>
        </is>
      </c>
      <c r="C208" s="9" t="inlineStr">
        <is>
          <t>SMG</t>
        </is>
      </c>
      <c r="D208" s="9" t="inlineStr">
        <is>
          <t>Woven</t>
        </is>
      </c>
      <c r="E208" s="17" t="n">
        <v>1406</v>
      </c>
      <c r="F208" s="17" t="n">
        <v>1406</v>
      </c>
      <c r="G208" s="17">
        <f>F208-E208</f>
        <v>0</v>
      </c>
      <c r="H208" s="18">
        <f>IFERROR(G208/E208,"")</f>
        <v>0.0</v>
      </c>
      <c r="I208" s="9" t="str">
        <f>IF(E208=0,"新增",IF(F208=0,"消失",IF(G208&gt;0,"增加",IF(G208&lt;0,"減少","無變化"))))</f>
        <v>無變化</v>
      </c>
    </row>
    <row r="209">
      <c r="A209" s="9" t="inlineStr">
        <is>
          <t>GU-32</t>
        </is>
      </c>
      <c r="B209" s="9" t="inlineStr">
        <is>
          <t>60327N051A</t>
        </is>
      </c>
      <c r="C209" s="9" t="inlineStr">
        <is>
          <t>SMG</t>
        </is>
      </c>
      <c r="D209" s="9" t="inlineStr">
        <is>
          <t>Woven</t>
        </is>
      </c>
      <c r="E209" s="17" t="n">
        <v>5967</v>
      </c>
      <c r="F209" s="17" t="n">
        <v>5967</v>
      </c>
      <c r="G209" s="17">
        <f>F209-E209</f>
        <v>0</v>
      </c>
      <c r="H209" s="18">
        <f>IFERROR(G209/E209,"")</f>
        <v>0.0</v>
      </c>
      <c r="I209" s="9" t="str">
        <f>IF(E209=0,"新增",IF(F209=0,"消失",IF(G209&gt;0,"增加",IF(G209&lt;0,"減少","無變化"))))</f>
        <v>無變化</v>
      </c>
    </row>
    <row r="210">
      <c r="A210" s="9" t="inlineStr">
        <is>
          <t>GU-32</t>
        </is>
      </c>
      <c r="B210" s="9" t="inlineStr">
        <is>
          <t>60327N051B</t>
        </is>
      </c>
      <c r="C210" s="9" t="inlineStr">
        <is>
          <t>SMG</t>
        </is>
      </c>
      <c r="D210" s="9" t="inlineStr">
        <is>
          <t>Woven</t>
        </is>
      </c>
      <c r="E210" s="17" t="n">
        <v>2090</v>
      </c>
      <c r="F210" s="17" t="n">
        <v>2090</v>
      </c>
      <c r="G210" s="17">
        <f>F210-E210</f>
        <v>0</v>
      </c>
      <c r="H210" s="18">
        <f>IFERROR(G210/E210,"")</f>
        <v>0.0</v>
      </c>
      <c r="I210" s="9" t="str">
        <f>IF(E210=0,"新增",IF(F210=0,"消失",IF(G210&gt;0,"增加",IF(G210&lt;0,"減少","無變化"))))</f>
        <v>無變化</v>
      </c>
    </row>
    <row r="211">
      <c r="A211" s="9" t="inlineStr">
        <is>
          <t>GU-32</t>
        </is>
      </c>
      <c r="B211" s="9" t="inlineStr">
        <is>
          <t>60327N051C</t>
        </is>
      </c>
      <c r="C211" s="9" t="inlineStr">
        <is>
          <t>SMG</t>
        </is>
      </c>
      <c r="D211" s="9" t="inlineStr">
        <is>
          <t>Woven</t>
        </is>
      </c>
      <c r="E211" s="17" t="n">
        <v>3146</v>
      </c>
      <c r="F211" s="17" t="n">
        <v>3146</v>
      </c>
      <c r="G211" s="17">
        <f>F211-E211</f>
        <v>0</v>
      </c>
      <c r="H211" s="18">
        <f>IFERROR(G211/E211,"")</f>
        <v>0.0</v>
      </c>
      <c r="I211" s="9" t="str">
        <f>IF(E211=0,"新增",IF(F211=0,"消失",IF(G211&gt;0,"增加",IF(G211&lt;0,"減少","無變化"))))</f>
        <v>無變化</v>
      </c>
    </row>
    <row r="212">
      <c r="A212" s="9" t="inlineStr">
        <is>
          <t>GU-32</t>
        </is>
      </c>
      <c r="B212" s="9" t="inlineStr">
        <is>
          <t>60327N056A</t>
        </is>
      </c>
      <c r="C212" s="9" t="inlineStr">
        <is>
          <t>SMG</t>
        </is>
      </c>
      <c r="D212" s="9" t="inlineStr">
        <is>
          <t>Woven</t>
        </is>
      </c>
      <c r="E212" s="17" t="n">
        <v>4564</v>
      </c>
      <c r="F212" s="17" t="n">
        <v>4564</v>
      </c>
      <c r="G212" s="17">
        <f>F212-E212</f>
        <v>0</v>
      </c>
      <c r="H212" s="18">
        <f>IFERROR(G212/E212,"")</f>
        <v>0.0</v>
      </c>
      <c r="I212" s="9" t="str">
        <f>IF(E212=0,"新增",IF(F212=0,"消失",IF(G212&gt;0,"增加",IF(G212&lt;0,"減少","無變化"))))</f>
        <v>無變化</v>
      </c>
    </row>
    <row r="213">
      <c r="A213" s="9" t="inlineStr">
        <is>
          <t>GU-32</t>
        </is>
      </c>
      <c r="B213" s="9" t="inlineStr">
        <is>
          <t>60327N064C</t>
        </is>
      </c>
      <c r="C213" s="9" t="inlineStr">
        <is>
          <t>SMG</t>
        </is>
      </c>
      <c r="D213" s="9" t="inlineStr">
        <is>
          <t>Woven</t>
        </is>
      </c>
      <c r="E213" s="17" t="n">
        <v>3166</v>
      </c>
      <c r="F213" s="17" t="n">
        <v>3166</v>
      </c>
      <c r="G213" s="17">
        <f>F213-E213</f>
        <v>0</v>
      </c>
      <c r="H213" s="18">
        <f>IFERROR(G213/E213,"")</f>
        <v>0.0</v>
      </c>
      <c r="I213" s="9" t="str">
        <f>IF(E213=0,"新增",IF(F213=0,"消失",IF(G213&gt;0,"增加",IF(G213&lt;0,"減少","無變化"))))</f>
        <v>無變化</v>
      </c>
    </row>
    <row r="214">
      <c r="A214" s="9" t="inlineStr">
        <is>
          <t>GU-32</t>
        </is>
      </c>
      <c r="B214" s="9" t="inlineStr">
        <is>
          <t>60327H051C</t>
        </is>
      </c>
      <c r="C214" s="9" t="inlineStr">
        <is>
          <t>SMG</t>
        </is>
      </c>
      <c r="D214" s="9" t="inlineStr">
        <is>
          <t>Woven</t>
        </is>
      </c>
      <c r="E214" s="17" t="n">
        <v>7521</v>
      </c>
      <c r="F214" s="17" t="n">
        <v>7523</v>
      </c>
      <c r="G214" s="17">
        <f>F214-E214</f>
        <v>2</v>
      </c>
      <c r="H214" s="18">
        <f>IFERROR(G214/E214,"")</f>
        <v>0.0002659221</v>
      </c>
      <c r="I214" s="9" t="str">
        <f>IF(E214=0,"新增",IF(F214=0,"消失",IF(G214&gt;0,"增加",IF(G214&lt;0,"減少","無變化"))))</f>
        <v>增加</v>
      </c>
    </row>
    <row r="215">
      <c r="A215" s="9" t="inlineStr">
        <is>
          <t>GU-32</t>
        </is>
      </c>
      <c r="B215" s="9" t="inlineStr">
        <is>
          <t>60326F053B</t>
        </is>
      </c>
      <c r="C215" s="9" t="inlineStr">
        <is>
          <t>SMG</t>
        </is>
      </c>
      <c r="D215" s="9" t="inlineStr">
        <is>
          <t>Woven</t>
        </is>
      </c>
      <c r="E215" s="17" t="n">
        <v>4922</v>
      </c>
      <c r="F215" s="17" t="n">
        <v>4926</v>
      </c>
      <c r="G215" s="17">
        <f>F215-E215</f>
        <v>4</v>
      </c>
      <c r="H215" s="18">
        <f>IFERROR(G215/E215,"")</f>
        <v>0.0008126778</v>
      </c>
      <c r="I215" s="9" t="str">
        <f>IF(E215=0,"新增",IF(F215=0,"消失",IF(G215&gt;0,"增加",IF(G215&lt;0,"減少","無變化"))))</f>
        <v>增加</v>
      </c>
    </row>
    <row r="216">
      <c r="A216" s="9" t="inlineStr">
        <is>
          <t>GU-32</t>
        </is>
      </c>
      <c r="B216" s="9" t="inlineStr">
        <is>
          <t>60326F068B</t>
        </is>
      </c>
      <c r="C216" s="9" t="inlineStr">
        <is>
          <t>SMG</t>
        </is>
      </c>
      <c r="D216" s="9" t="inlineStr">
        <is>
          <t>Woven</t>
        </is>
      </c>
      <c r="E216" s="17" t="n">
        <v>9290</v>
      </c>
      <c r="F216" s="17" t="n">
        <v>9315</v>
      </c>
      <c r="G216" s="17">
        <f>F216-E216</f>
        <v>25</v>
      </c>
      <c r="H216" s="18">
        <f>IFERROR(G216/E216,"")</f>
        <v>0.0026910657</v>
      </c>
      <c r="I216" s="9" t="str">
        <f>IF(E216=0,"新增",IF(F216=0,"消失",IF(G216&gt;0,"增加",IF(G216&lt;0,"減少","無變化"))))</f>
        <v>增加</v>
      </c>
    </row>
    <row r="217">
      <c r="A217" s="9" t="inlineStr">
        <is>
          <t>GU-32</t>
        </is>
      </c>
      <c r="B217" s="9" t="inlineStr">
        <is>
          <t>60326N024A</t>
        </is>
      </c>
      <c r="C217" s="9" t="inlineStr">
        <is>
          <t>SMG</t>
        </is>
      </c>
      <c r="D217" s="9" t="inlineStr">
        <is>
          <t>Woven</t>
        </is>
      </c>
      <c r="E217" s="17" t="n">
        <v>7944</v>
      </c>
      <c r="F217" s="17" t="n">
        <v>7971</v>
      </c>
      <c r="G217" s="17">
        <f>F217-E217</f>
        <v>27</v>
      </c>
      <c r="H217" s="18">
        <f>IFERROR(G217/E217,"")</f>
        <v>0.0033987915</v>
      </c>
      <c r="I217" s="9" t="str">
        <f>IF(E217=0,"新增",IF(F217=0,"消失",IF(G217&gt;0,"增加",IF(G217&lt;0,"減少","無變化"))))</f>
        <v>增加</v>
      </c>
    </row>
    <row r="218">
      <c r="A218" s="9" t="inlineStr">
        <is>
          <t>GU-32</t>
        </is>
      </c>
      <c r="B218" s="9" t="inlineStr">
        <is>
          <t>60326F051A</t>
        </is>
      </c>
      <c r="C218" s="9" t="inlineStr">
        <is>
          <t>SMG</t>
        </is>
      </c>
      <c r="D218" s="9" t="inlineStr">
        <is>
          <t>Woven</t>
        </is>
      </c>
      <c r="E218" s="17" t="n">
        <v>27665</v>
      </c>
      <c r="F218" s="17" t="n">
        <v>27693</v>
      </c>
      <c r="G218" s="17">
        <f>F218-E218</f>
        <v>28</v>
      </c>
      <c r="H218" s="18">
        <f>IFERROR(G218/E218,"")</f>
        <v>0.0010121092</v>
      </c>
      <c r="I218" s="9" t="str">
        <f>IF(E218=0,"新增",IF(F218=0,"消失",IF(G218&gt;0,"增加",IF(G218&lt;0,"減少","無變化"))))</f>
        <v>增加</v>
      </c>
    </row>
    <row r="219">
      <c r="A219" s="9" t="inlineStr">
        <is>
          <t>GU-32</t>
        </is>
      </c>
      <c r="B219" s="9" t="inlineStr">
        <is>
          <t>60326F051B</t>
        </is>
      </c>
      <c r="C219" s="9" t="inlineStr">
        <is>
          <t>NVN</t>
        </is>
      </c>
      <c r="D219" s="9" t="inlineStr">
        <is>
          <t>Woven</t>
        </is>
      </c>
      <c r="E219" s="17" t="n">
        <v>5691</v>
      </c>
      <c r="F219" s="17" t="n">
        <v>5743</v>
      </c>
      <c r="G219" s="17">
        <f>F219-E219</f>
        <v>52</v>
      </c>
      <c r="H219" s="18">
        <f>IFERROR(G219/E219,"")</f>
        <v>0.0091372342</v>
      </c>
      <c r="I219" s="9" t="str">
        <f>IF(E219=0,"新增",IF(F219=0,"消失",IF(G219&gt;0,"增加",IF(G219&lt;0,"減少","無變化"))))</f>
        <v>增加</v>
      </c>
    </row>
    <row r="220">
      <c r="A220" s="9" t="inlineStr">
        <is>
          <t>GU-32</t>
        </is>
      </c>
      <c r="B220" s="9" t="inlineStr">
        <is>
          <t>60326F062C</t>
        </is>
      </c>
      <c r="C220" s="9" t="inlineStr">
        <is>
          <t>SMG</t>
        </is>
      </c>
      <c r="D220" s="9" t="inlineStr">
        <is>
          <t>Woven</t>
        </is>
      </c>
      <c r="E220" s="17" t="n">
        <v>6308</v>
      </c>
      <c r="F220" s="17" t="n">
        <v>6365</v>
      </c>
      <c r="G220" s="17">
        <f>F220-E220</f>
        <v>57</v>
      </c>
      <c r="H220" s="18">
        <f>IFERROR(G220/E220,"")</f>
        <v>0.0090361446</v>
      </c>
      <c r="I220" s="9" t="str">
        <f>IF(E220=0,"新增",IF(F220=0,"消失",IF(G220&gt;0,"增加",IF(G220&lt;0,"減少","無變化"))))</f>
        <v>增加</v>
      </c>
    </row>
    <row r="221">
      <c r="A221" s="9" t="inlineStr">
        <is>
          <t>GU-32</t>
        </is>
      </c>
      <c r="B221" s="9" t="inlineStr">
        <is>
          <t>60327H051D</t>
        </is>
      </c>
      <c r="C221" s="9" t="inlineStr">
        <is>
          <t>SMG</t>
        </is>
      </c>
      <c r="D221" s="9" t="inlineStr">
        <is>
          <t>Woven</t>
        </is>
      </c>
      <c r="E221" s="17" t="n">
        <v>134</v>
      </c>
      <c r="F221" s="17" t="n">
        <v>201</v>
      </c>
      <c r="G221" s="17">
        <f>F221-E221</f>
        <v>67</v>
      </c>
      <c r="H221" s="18">
        <f>IFERROR(G221/E221,"")</f>
        <v>0.5</v>
      </c>
      <c r="I221" s="9" t="str">
        <f>IF(E221=0,"新增",IF(F221=0,"消失",IF(G221&gt;0,"增加",IF(G221&lt;0,"減少","無變化"))))</f>
        <v>增加</v>
      </c>
    </row>
    <row r="222">
      <c r="A222" s="9" t="inlineStr">
        <is>
          <t>GU-32</t>
        </is>
      </c>
      <c r="B222" s="9" t="inlineStr">
        <is>
          <t>60326F073A</t>
        </is>
      </c>
      <c r="C222" s="9" t="inlineStr">
        <is>
          <t>SMG</t>
        </is>
      </c>
      <c r="D222" s="9" t="inlineStr">
        <is>
          <t>Woven</t>
        </is>
      </c>
      <c r="E222" s="17" t="n">
        <v>47008</v>
      </c>
      <c r="F222" s="17" t="n">
        <v>47114</v>
      </c>
      <c r="G222" s="17">
        <f>F222-E222</f>
        <v>106</v>
      </c>
      <c r="H222" s="18">
        <f>IFERROR(G222/E222,"")</f>
        <v>0.0022549353</v>
      </c>
      <c r="I222" s="9" t="str">
        <f>IF(E222=0,"新增",IF(F222=0,"消失",IF(G222&gt;0,"增加",IF(G222&lt;0,"減少","無變化"))))</f>
        <v>增加</v>
      </c>
    </row>
    <row r="223">
      <c r="A223" s="9" t="inlineStr">
        <is>
          <t>GU-32</t>
        </is>
      </c>
      <c r="B223" s="9" t="inlineStr">
        <is>
          <t>60327H045B</t>
        </is>
      </c>
      <c r="C223" s="9" t="inlineStr">
        <is>
          <t>SMG</t>
        </is>
      </c>
      <c r="D223" s="9" t="inlineStr">
        <is>
          <t>Woven</t>
        </is>
      </c>
      <c r="E223" s="17" t="n">
        <v>1208</v>
      </c>
      <c r="F223" s="17" t="n">
        <v>1656</v>
      </c>
      <c r="G223" s="17">
        <f>F223-E223</f>
        <v>448</v>
      </c>
      <c r="H223" s="18">
        <f>IFERROR(G223/E223,"")</f>
        <v>0.3708609272</v>
      </c>
      <c r="I223" s="9" t="str">
        <f>IF(E223=0,"新增",IF(F223=0,"消失",IF(G223&gt;0,"增加",IF(G223&lt;0,"減少","無變化"))))</f>
        <v>增加</v>
      </c>
    </row>
    <row r="224">
      <c r="A224" s="9" t="inlineStr">
        <is>
          <t>GU-32</t>
        </is>
      </c>
      <c r="B224" s="9" t="inlineStr">
        <is>
          <t>60327H045C</t>
        </is>
      </c>
      <c r="C224" s="9" t="inlineStr">
        <is>
          <t>SMG</t>
        </is>
      </c>
      <c r="D224" s="9" t="inlineStr">
        <is>
          <t>Woven</t>
        </is>
      </c>
      <c r="E224" s="17" t="n">
        <v>1657</v>
      </c>
      <c r="F224" s="17" t="n">
        <v>2692</v>
      </c>
      <c r="G224" s="17">
        <f>F224-E224</f>
        <v>1035</v>
      </c>
      <c r="H224" s="18">
        <f>IFERROR(G224/E224,"")</f>
        <v>0.6246228123</v>
      </c>
      <c r="I224" s="9" t="str">
        <f>IF(E224=0,"新增",IF(F224=0,"消失",IF(G224&gt;0,"增加",IF(G224&lt;0,"減少","無變化"))))</f>
        <v>增加</v>
      </c>
    </row>
    <row r="225">
      <c r="A225" s="9" t="inlineStr">
        <is>
          <t>GU-32</t>
        </is>
      </c>
      <c r="B225" s="9" t="inlineStr">
        <is>
          <t>60327H045A</t>
        </is>
      </c>
      <c r="C225" s="9" t="inlineStr">
        <is>
          <t>SMG</t>
        </is>
      </c>
      <c r="D225" s="9" t="inlineStr">
        <is>
          <t>Woven</t>
        </is>
      </c>
      <c r="E225" s="17" t="n">
        <v>48783</v>
      </c>
      <c r="F225" s="17" t="n">
        <v>51024</v>
      </c>
      <c r="G225" s="17">
        <f>F225-E225</f>
        <v>2241</v>
      </c>
      <c r="H225" s="18">
        <f>IFERROR(G225/E225,"")</f>
        <v>0.0459381342</v>
      </c>
      <c r="I225" s="9" t="str">
        <f>IF(E225=0,"新增",IF(F225=0,"消失",IF(G225&gt;0,"增加",IF(G225&lt;0,"減少","無變化"))))</f>
        <v>增加</v>
      </c>
    </row>
    <row r="226">
      <c r="A226" s="9" t="inlineStr">
        <is>
          <t>GU-32</t>
        </is>
      </c>
      <c r="B226" s="9" t="inlineStr">
        <is>
          <t>60327H055G</t>
        </is>
      </c>
      <c r="C226" s="9" t="inlineStr">
        <is>
          <t>SMG</t>
        </is>
      </c>
      <c r="D226" s="9" t="inlineStr">
        <is>
          <t>Woven</t>
        </is>
      </c>
      <c r="E226" s="17" t="n">
        <v>6378</v>
      </c>
      <c r="F226" s="17" t="n">
        <v>8820</v>
      </c>
      <c r="G226" s="17">
        <f>F226-E226</f>
        <v>2442</v>
      </c>
      <c r="H226" s="18">
        <f>IFERROR(G226/E226,"")</f>
        <v>0.3828786453</v>
      </c>
      <c r="I226" s="9" t="str">
        <f>IF(E226=0,"新增",IF(F226=0,"消失",IF(G226&gt;0,"增加",IF(G226&lt;0,"減少","無變化"))))</f>
        <v>增加</v>
      </c>
    </row>
    <row r="227">
      <c r="A227" s="9" t="inlineStr">
        <is>
          <t>GU-32</t>
        </is>
      </c>
      <c r="B227" s="9" t="inlineStr">
        <is>
          <t>60327H051E</t>
        </is>
      </c>
      <c r="C227" s="9" t="inlineStr">
        <is>
          <t>SMG</t>
        </is>
      </c>
      <c r="D227" s="9" t="inlineStr">
        <is>
          <t>Woven</t>
        </is>
      </c>
      <c r="E227" s="17" t="n">
        <v>3125</v>
      </c>
      <c r="F227" s="17" t="n">
        <v>7587</v>
      </c>
      <c r="G227" s="17">
        <f>F227-E227</f>
        <v>4462</v>
      </c>
      <c r="H227" s="18">
        <f>IFERROR(G227/E227,"")</f>
        <v>1.42784</v>
      </c>
      <c r="I227" s="9" t="str">
        <f>IF(E227=0,"新增",IF(F227=0,"消失",IF(G227&gt;0,"增加",IF(G227&lt;0,"減少","無變化"))))</f>
        <v>增加</v>
      </c>
    </row>
    <row r="228">
      <c r="A228" s="9" t="inlineStr">
        <is>
          <t>GU-32</t>
        </is>
      </c>
      <c r="B228" s="9" t="inlineStr">
        <is>
          <t>60327H098C</t>
        </is>
      </c>
      <c r="C228" s="9" t="inlineStr">
        <is>
          <t>SMG</t>
        </is>
      </c>
      <c r="D228" s="9" t="inlineStr">
        <is>
          <t>Woven</t>
        </is>
      </c>
      <c r="E228" s="17" t="n">
        <v>0</v>
      </c>
      <c r="F228" s="17" t="n">
        <v>11552</v>
      </c>
      <c r="G228" s="17">
        <f>F228-E228</f>
        <v>11552</v>
      </c>
      <c r="H228" s="18">
        <f>IFERROR(G228/E228,"")</f>
        <v/>
      </c>
      <c r="I228" s="9" t="str">
        <f>IF(E228=0,"新增",IF(F228=0,"消失",IF(G228&gt;0,"增加",IF(G228&lt;0,"減少","無變化"))))</f>
        <v>新增</v>
      </c>
    </row>
    <row r="229">
      <c r="A229" s="9" t="inlineStr">
        <is>
          <t>GU-32</t>
        </is>
      </c>
      <c r="B229" s="9" t="inlineStr">
        <is>
          <t>buffer</t>
        </is>
      </c>
      <c r="C229" s="9" t="inlineStr">
        <is>
          <t>SMG</t>
        </is>
      </c>
      <c r="D229" s="9" t="inlineStr">
        <is>
          <t>Woven</t>
        </is>
      </c>
      <c r="E229" s="17" t="n">
        <v>9999</v>
      </c>
      <c r="F229" s="17" t="n">
        <v>30998</v>
      </c>
      <c r="G229" s="17">
        <f>F229-E229</f>
        <v>20999</v>
      </c>
      <c r="H229" s="18">
        <f>IFERROR(G229/E229,"")</f>
        <v>2.100110011</v>
      </c>
      <c r="I229" s="9" t="str">
        <f>IF(E229=0,"新增",IF(F229=0,"消失",IF(G229&gt;0,"增加",IF(G229&lt;0,"減少","無變化"))))</f>
        <v>增加</v>
      </c>
    </row>
    <row r="230">
      <c r="A230" s="9" t="inlineStr">
        <is>
          <t>GU-33</t>
        </is>
      </c>
      <c r="B230" s="9" t="inlineStr">
        <is>
          <t>60336N003F</t>
        </is>
      </c>
      <c r="C230" s="9" t="inlineStr">
        <is>
          <t>NVN</t>
        </is>
      </c>
      <c r="D230" s="9" t="inlineStr">
        <is>
          <t>Woven</t>
        </is>
      </c>
      <c r="E230" s="17" t="n">
        <v>3094</v>
      </c>
      <c r="F230" s="17" t="n">
        <v>3094</v>
      </c>
      <c r="G230" s="17">
        <f>F230-E230</f>
        <v>0</v>
      </c>
      <c r="H230" s="18">
        <f>IFERROR(G230/E230,"")</f>
        <v>0.0</v>
      </c>
      <c r="I230" s="9" t="str">
        <f>IF(E230=0,"新增",IF(F230=0,"消失",IF(G230&gt;0,"增加",IF(G230&lt;0,"減少","無變化"))))</f>
        <v>無變化</v>
      </c>
    </row>
    <row r="231">
      <c r="A231" s="9" t="inlineStr">
        <is>
          <t>GU-34</t>
        </is>
      </c>
      <c r="B231" s="9" t="inlineStr">
        <is>
          <t>60347H045A</t>
        </is>
      </c>
      <c r="C231" s="9" t="inlineStr">
        <is>
          <t>SMG</t>
        </is>
      </c>
      <c r="D231" s="9" t="inlineStr">
        <is>
          <t>Knit</t>
        </is>
      </c>
      <c r="E231" s="17" t="n">
        <v>26025</v>
      </c>
      <c r="F231" s="17" t="n">
        <v>13012</v>
      </c>
      <c r="G231" s="17">
        <f>F231-E231</f>
        <v>-13013</v>
      </c>
      <c r="H231" s="18">
        <f>IFERROR(G231/E231,"")</f>
        <v>-0.5000192123</v>
      </c>
      <c r="I231" s="9" t="str">
        <f>IF(E231=0,"新增",IF(F231=0,"消失",IF(G231&gt;0,"增加",IF(G231&lt;0,"減少","無變化"))))</f>
        <v>減少</v>
      </c>
    </row>
    <row r="232">
      <c r="A232" s="9" t="inlineStr">
        <is>
          <t>GU-37</t>
        </is>
      </c>
      <c r="B232" s="9" t="inlineStr">
        <is>
          <t>60376N007B</t>
        </is>
      </c>
      <c r="C232" s="9" t="inlineStr">
        <is>
          <t>SMG</t>
        </is>
      </c>
      <c r="D232" s="9" t="inlineStr">
        <is>
          <t>Knit</t>
        </is>
      </c>
      <c r="E232" s="17" t="n">
        <v>270</v>
      </c>
      <c r="F232" s="17" t="n">
        <v>270</v>
      </c>
      <c r="G232" s="17">
        <f>F232-E232</f>
        <v>0</v>
      </c>
      <c r="H232" s="18">
        <f>IFERROR(G232/E232,"")</f>
        <v>0.0</v>
      </c>
      <c r="I232" s="9" t="str">
        <f>IF(E232=0,"新增",IF(F232=0,"消失",IF(G232&gt;0,"增加",IF(G232&lt;0,"減少","無變化"))))</f>
        <v>無變化</v>
      </c>
    </row>
    <row r="233">
      <c r="A233" s="9" t="inlineStr">
        <is>
          <t>GU-37</t>
        </is>
      </c>
      <c r="B233" s="9" t="inlineStr">
        <is>
          <t>60376N046A</t>
        </is>
      </c>
      <c r="C233" s="9" t="inlineStr">
        <is>
          <t>SMG</t>
        </is>
      </c>
      <c r="D233" s="9" t="inlineStr">
        <is>
          <t>Knit</t>
        </is>
      </c>
      <c r="E233" s="17" t="n">
        <v>153</v>
      </c>
      <c r="F233" s="17" t="n">
        <v>153</v>
      </c>
      <c r="G233" s="17">
        <f>F233-E233</f>
        <v>0</v>
      </c>
      <c r="H233" s="18">
        <f>IFERROR(G233/E233,"")</f>
        <v>0.0</v>
      </c>
      <c r="I233" s="9" t="str">
        <f>IF(E233=0,"新增",IF(F233=0,"消失",IF(G233&gt;0,"增加",IF(G233&lt;0,"減少","無變化"))))</f>
        <v>無變化</v>
      </c>
    </row>
    <row r="234">
      <c r="A234" s="9" t="inlineStr">
        <is>
          <t>GU-37</t>
        </is>
      </c>
      <c r="B234" s="9" t="inlineStr">
        <is>
          <t>60376N007A</t>
        </is>
      </c>
      <c r="C234" s="9" t="inlineStr">
        <is>
          <t>SMG</t>
        </is>
      </c>
      <c r="D234" s="9" t="inlineStr">
        <is>
          <t>Knit</t>
        </is>
      </c>
      <c r="E234" s="17" t="n">
        <v>9893</v>
      </c>
      <c r="F234" s="17" t="n">
        <v>9894</v>
      </c>
      <c r="G234" s="17">
        <f>F234-E234</f>
        <v>1</v>
      </c>
      <c r="H234" s="18">
        <f>IFERROR(G234/E234,"")</f>
        <v>0.0001010816</v>
      </c>
      <c r="I234" s="9" t="str">
        <f>IF(E234=0,"新增",IF(F234=0,"消失",IF(G234&gt;0,"增加",IF(G234&lt;0,"減少","無變化"))))</f>
        <v>增加</v>
      </c>
    </row>
    <row r="235">
      <c r="A235" s="12" t="inlineStr">
        <is>
          <t>合計</t>
        </is>
      </c>
      <c r="B235" s="19" t="n"/>
      <c r="C235" s="19" t="n"/>
      <c r="D235" s="19" t="n"/>
      <c r="E235" s="20">
        <f>SUM(E2:E234)</f>
        <v>2566885</v>
      </c>
      <c r="F235" s="20">
        <f>SUM(F2:F234)</f>
        <v>2497332</v>
      </c>
      <c r="G235" s="20">
        <f>F235-E235</f>
        <v>-69553</v>
      </c>
      <c r="H235" s="21">
        <f>IFERROR(G235/E235,"")</f>
        <v>-0.0270962665</v>
      </c>
      <c r="I235" s="19" t="n"/>
    </row>
  </sheetData>
  <autoFilter ref="A1:I234"/>
  <conditionalFormatting sqref="G2:G23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30" customHeight="1">
      <c r="A1" s="6" t="inlineStr">
        <is>
          <t>部門 div.</t>
        </is>
      </c>
      <c r="B1" s="6" t="inlineStr">
        <is>
          <t>款號 style</t>
        </is>
      </c>
      <c r="C1" s="6" t="inlineStr">
        <is>
          <t>K/W</t>
        </is>
      </c>
      <c r="D1" s="6" t="inlineStr">
        <is>
          <t>07/23 標打</t>
        </is>
      </c>
      <c r="E1" s="6" t="inlineStr">
        <is>
          <t>07/30 標打</t>
        </is>
      </c>
      <c r="F1" s="6" t="inlineStr">
        <is>
          <t>差異</t>
        </is>
      </c>
      <c r="G1" s="6" t="inlineStr">
        <is>
          <t>差異%</t>
        </is>
      </c>
      <c r="H1" s="6" t="inlineStr">
        <is>
          <t>變動</t>
        </is>
      </c>
    </row>
    <row r="2">
      <c r="A2" s="9" t="inlineStr">
        <is>
          <t>GU-23</t>
        </is>
      </c>
      <c r="B2" s="9" t="inlineStr">
        <is>
          <t>60236N057A</t>
        </is>
      </c>
      <c r="C2" s="9" t="inlineStr">
        <is>
          <t>Woven</t>
        </is>
      </c>
      <c r="D2" s="17" t="n">
        <v>36364</v>
      </c>
      <c r="E2" s="17" t="n">
        <v>0</v>
      </c>
      <c r="F2" s="17">
        <f>E2-D2</f>
        <v>-36364</v>
      </c>
      <c r="G2" s="18">
        <f>IFERROR(F2/D2,"")</f>
        <v>-1.0</v>
      </c>
      <c r="H2" s="9" t="str">
        <f>IF(D2=0,"新增",IF(E2=0,"消失",IF(F2&gt;0,"增加",IF(F2&lt;0,"減少","無變化"))))</f>
        <v>消失</v>
      </c>
    </row>
    <row r="3">
      <c r="A3" s="9" t="inlineStr">
        <is>
          <t>GU-23</t>
        </is>
      </c>
      <c r="B3" s="9" t="inlineStr">
        <is>
          <t>60237N046A</t>
        </is>
      </c>
      <c r="C3" s="9" t="inlineStr">
        <is>
          <t>Woven</t>
        </is>
      </c>
      <c r="D3" s="17" t="n">
        <v>23336</v>
      </c>
      <c r="E3" s="17" t="n">
        <v>0</v>
      </c>
      <c r="F3" s="17">
        <f>E3-D3</f>
        <v>-23336</v>
      </c>
      <c r="G3" s="18">
        <f>IFERROR(F3/D3,"")</f>
        <v>-1.0</v>
      </c>
      <c r="H3" s="9" t="str">
        <f>IF(D3=0,"新增",IF(E3=0,"消失",IF(F3&gt;0,"增加",IF(F3&lt;0,"減少","無變化"))))</f>
        <v>消失</v>
      </c>
    </row>
    <row r="4">
      <c r="A4" s="9" t="inlineStr">
        <is>
          <t>GU-22</t>
        </is>
      </c>
      <c r="B4" s="9" t="inlineStr">
        <is>
          <t>60227H026A</t>
        </is>
      </c>
      <c r="C4" s="9" t="inlineStr">
        <is>
          <t>Woven</t>
        </is>
      </c>
      <c r="D4" s="17" t="n">
        <v>24459</v>
      </c>
      <c r="E4" s="17" t="n">
        <v>1824</v>
      </c>
      <c r="F4" s="17">
        <f>E4-D4</f>
        <v>-22635</v>
      </c>
      <c r="G4" s="18">
        <f>IFERROR(F4/D4,"")</f>
        <v>-0.9254262235</v>
      </c>
      <c r="H4" s="9" t="str">
        <f>IF(D4=0,"新增",IF(E4=0,"消失",IF(F4&gt;0,"增加",IF(F4&lt;0,"減少","無變化"))))</f>
        <v>減少</v>
      </c>
    </row>
    <row r="5">
      <c r="A5" s="9" t="inlineStr">
        <is>
          <t>GU-34</t>
        </is>
      </c>
      <c r="B5" s="9" t="inlineStr">
        <is>
          <t>60347H045A</t>
        </is>
      </c>
      <c r="C5" s="9" t="inlineStr">
        <is>
          <t>Knit</t>
        </is>
      </c>
      <c r="D5" s="17" t="n">
        <v>26025</v>
      </c>
      <c r="E5" s="17" t="n">
        <v>13012</v>
      </c>
      <c r="F5" s="17">
        <f>E5-D5</f>
        <v>-13013</v>
      </c>
      <c r="G5" s="18">
        <f>IFERROR(F5/D5,"")</f>
        <v>-0.5000192123</v>
      </c>
      <c r="H5" s="9" t="str">
        <f>IF(D5=0,"新增",IF(E5=0,"消失",IF(F5&gt;0,"增加",IF(F5&lt;0,"減少","無變化"))))</f>
        <v>減少</v>
      </c>
    </row>
    <row r="6">
      <c r="A6" s="9" t="inlineStr">
        <is>
          <t>GU-32</t>
        </is>
      </c>
      <c r="B6" s="9" t="inlineStr">
        <is>
          <t>60327H024A</t>
        </is>
      </c>
      <c r="C6" s="9" t="inlineStr">
        <is>
          <t>Woven</t>
        </is>
      </c>
      <c r="D6" s="17" t="n">
        <v>76692</v>
      </c>
      <c r="E6" s="17" t="n">
        <v>63908</v>
      </c>
      <c r="F6" s="17">
        <f>E6-D6</f>
        <v>-12784</v>
      </c>
      <c r="G6" s="18">
        <f>IFERROR(F6/D6,"")</f>
        <v>-0.166692745</v>
      </c>
      <c r="H6" s="9" t="str">
        <f>IF(D6=0,"新增",IF(E6=0,"消失",IF(F6&gt;0,"增加",IF(F6&lt;0,"減少","無變化"))))</f>
        <v>減少</v>
      </c>
    </row>
    <row r="7">
      <c r="A7" s="9" t="inlineStr">
        <is>
          <t>GU-22</t>
        </is>
      </c>
      <c r="B7" s="9" t="inlineStr">
        <is>
          <t>60227H019D</t>
        </is>
      </c>
      <c r="C7" s="9" t="inlineStr">
        <is>
          <t>Woven</t>
        </is>
      </c>
      <c r="D7" s="17" t="n">
        <v>11773</v>
      </c>
      <c r="E7" s="17" t="n">
        <v>0</v>
      </c>
      <c r="F7" s="17">
        <f>E7-D7</f>
        <v>-11773</v>
      </c>
      <c r="G7" s="18">
        <f>IFERROR(F7/D7,"")</f>
        <v>-1.0</v>
      </c>
      <c r="H7" s="9" t="str">
        <f>IF(D7=0,"新增",IF(E7=0,"消失",IF(F7&gt;0,"增加",IF(F7&lt;0,"減少","無變化"))))</f>
        <v>消失</v>
      </c>
    </row>
    <row r="8">
      <c r="A8" s="9" t="inlineStr">
        <is>
          <t>GU-32</t>
        </is>
      </c>
      <c r="B8" s="9" t="inlineStr">
        <is>
          <t>60327H098B</t>
        </is>
      </c>
      <c r="C8" s="9" t="inlineStr">
        <is>
          <t>Woven</t>
        </is>
      </c>
      <c r="D8" s="17" t="n">
        <v>11187</v>
      </c>
      <c r="E8" s="17" t="n">
        <v>0</v>
      </c>
      <c r="F8" s="17">
        <f>E8-D8</f>
        <v>-11187</v>
      </c>
      <c r="G8" s="18">
        <f>IFERROR(F8/D8,"")</f>
        <v>-1.0</v>
      </c>
      <c r="H8" s="9" t="str">
        <f>IF(D8=0,"新增",IF(E8=0,"消失",IF(F8&gt;0,"增加",IF(F8&lt;0,"減少","無變化"))))</f>
        <v>消失</v>
      </c>
    </row>
    <row r="9">
      <c r="A9" s="9" t="inlineStr">
        <is>
          <t>GU-12</t>
        </is>
      </c>
      <c r="B9" s="9" t="inlineStr">
        <is>
          <t>60127N012A</t>
        </is>
      </c>
      <c r="C9" s="9" t="inlineStr">
        <is>
          <t>Woven</t>
        </is>
      </c>
      <c r="D9" s="17" t="n">
        <v>29636</v>
      </c>
      <c r="E9" s="17" t="n">
        <v>23957</v>
      </c>
      <c r="F9" s="17">
        <f>E9-D9</f>
        <v>-5679</v>
      </c>
      <c r="G9" s="18">
        <f>IFERROR(F9/D9,"")</f>
        <v>-0.1916250506</v>
      </c>
      <c r="H9" s="9" t="str">
        <f>IF(D9=0,"新增",IF(E9=0,"消失",IF(F9&gt;0,"增加",IF(F9&lt;0,"減少","無變化"))))</f>
        <v>減少</v>
      </c>
    </row>
    <row r="10">
      <c r="A10" s="9" t="inlineStr">
        <is>
          <t>GU-22</t>
        </is>
      </c>
      <c r="B10" s="9" t="inlineStr">
        <is>
          <t>60227H008A</t>
        </is>
      </c>
      <c r="C10" s="9" t="inlineStr">
        <is>
          <t>Woven</t>
        </is>
      </c>
      <c r="D10" s="17" t="n">
        <v>33262</v>
      </c>
      <c r="E10" s="17" t="n">
        <v>27918</v>
      </c>
      <c r="F10" s="17">
        <f>E10-D10</f>
        <v>-5344</v>
      </c>
      <c r="G10" s="18">
        <f>IFERROR(F10/D10,"")</f>
        <v>-0.1606638206</v>
      </c>
      <c r="H10" s="9" t="str">
        <f>IF(D10=0,"新增",IF(E10=0,"消失",IF(F10&gt;0,"增加",IF(F10&lt;0,"減少","無變化"))))</f>
        <v>減少</v>
      </c>
    </row>
    <row r="11">
      <c r="A11" s="9" t="inlineStr">
        <is>
          <t>GU-22</t>
        </is>
      </c>
      <c r="B11" s="9" t="inlineStr">
        <is>
          <t>60227N007I</t>
        </is>
      </c>
      <c r="C11" s="9" t="inlineStr">
        <is>
          <t>Woven</t>
        </is>
      </c>
      <c r="D11" s="17" t="n">
        <v>5251</v>
      </c>
      <c r="E11" s="17" t="n">
        <v>0</v>
      </c>
      <c r="F11" s="17">
        <f>E11-D11</f>
        <v>-5251</v>
      </c>
      <c r="G11" s="18">
        <f>IFERROR(F11/D11,"")</f>
        <v>-1.0</v>
      </c>
      <c r="H11" s="9" t="str">
        <f>IF(D11=0,"新增",IF(E11=0,"消失",IF(F11&gt;0,"增加",IF(F11&lt;0,"減少","無變化"))))</f>
        <v>消失</v>
      </c>
    </row>
    <row r="12">
      <c r="A12" s="9" t="inlineStr">
        <is>
          <t>GU-32</t>
        </is>
      </c>
      <c r="B12" s="9" t="inlineStr">
        <is>
          <t>60327H051A</t>
        </is>
      </c>
      <c r="C12" s="9" t="inlineStr">
        <is>
          <t>Woven</t>
        </is>
      </c>
      <c r="D12" s="17" t="n">
        <v>91817</v>
      </c>
      <c r="E12" s="17" t="n">
        <v>86590</v>
      </c>
      <c r="F12" s="17">
        <f>E12-D12</f>
        <v>-5227</v>
      </c>
      <c r="G12" s="18">
        <f>IFERROR(F12/D12,"")</f>
        <v>-0.0569284555</v>
      </c>
      <c r="H12" s="9" t="str">
        <f>IF(D12=0,"新增",IF(E12=0,"消失",IF(F12&gt;0,"增加",IF(F12&lt;0,"減少","無變化"))))</f>
        <v>減少</v>
      </c>
    </row>
    <row r="13">
      <c r="A13" s="9" t="inlineStr">
        <is>
          <t>GU-32</t>
        </is>
      </c>
      <c r="B13" s="9" t="inlineStr">
        <is>
          <t>60327N064A</t>
        </is>
      </c>
      <c r="C13" s="9" t="inlineStr">
        <is>
          <t>Woven</t>
        </is>
      </c>
      <c r="D13" s="17" t="n">
        <v>18444</v>
      </c>
      <c r="E13" s="17" t="n">
        <v>13611</v>
      </c>
      <c r="F13" s="17">
        <f>E13-D13</f>
        <v>-4833</v>
      </c>
      <c r="G13" s="18">
        <f>IFERROR(F13/D13,"")</f>
        <v>-0.2620364346</v>
      </c>
      <c r="H13" s="9" t="str">
        <f>IF(D13=0,"新增",IF(E13=0,"消失",IF(F13&gt;0,"增加",IF(F13&lt;0,"減少","無變化"))))</f>
        <v>減少</v>
      </c>
    </row>
    <row r="14">
      <c r="A14" s="9" t="inlineStr">
        <is>
          <t>GU-22</t>
        </is>
      </c>
      <c r="B14" s="9" t="inlineStr">
        <is>
          <t>60227H047A</t>
        </is>
      </c>
      <c r="C14" s="9" t="inlineStr">
        <is>
          <t>Woven</t>
        </is>
      </c>
      <c r="D14" s="17" t="n">
        <v>66133</v>
      </c>
      <c r="E14" s="17" t="n">
        <v>61318</v>
      </c>
      <c r="F14" s="17">
        <f>E14-D14</f>
        <v>-4815</v>
      </c>
      <c r="G14" s="18">
        <f>IFERROR(F14/D14,"")</f>
        <v>-0.0728078267</v>
      </c>
      <c r="H14" s="9" t="str">
        <f>IF(D14=0,"新增",IF(E14=0,"消失",IF(F14&gt;0,"增加",IF(F14&lt;0,"減少","無變化"))))</f>
        <v>減少</v>
      </c>
    </row>
    <row r="15">
      <c r="A15" s="9" t="inlineStr">
        <is>
          <t>GU-32</t>
        </is>
      </c>
      <c r="B15" s="9" t="inlineStr">
        <is>
          <t>60326F051C</t>
        </is>
      </c>
      <c r="C15" s="9" t="inlineStr">
        <is>
          <t>Woven</t>
        </is>
      </c>
      <c r="D15" s="17" t="n">
        <v>13253</v>
      </c>
      <c r="E15" s="17" t="n">
        <v>8589</v>
      </c>
      <c r="F15" s="17">
        <f>E15-D15</f>
        <v>-4664</v>
      </c>
      <c r="G15" s="18">
        <f>IFERROR(F15/D15,"")</f>
        <v>-0.3519203199</v>
      </c>
      <c r="H15" s="9" t="str">
        <f>IF(D15=0,"新增",IF(E15=0,"消失",IF(F15&gt;0,"增加",IF(F15&lt;0,"減少","無變化"))))</f>
        <v>減少</v>
      </c>
    </row>
    <row r="16">
      <c r="A16" s="9" t="inlineStr">
        <is>
          <t>GU-22</t>
        </is>
      </c>
      <c r="B16" s="9" t="inlineStr">
        <is>
          <t>60227H058A</t>
        </is>
      </c>
      <c r="C16" s="9" t="inlineStr">
        <is>
          <t>Woven</t>
        </is>
      </c>
      <c r="D16" s="17" t="n">
        <v>22939</v>
      </c>
      <c r="E16" s="17" t="n">
        <v>19104</v>
      </c>
      <c r="F16" s="17">
        <f>E16-D16</f>
        <v>-3835</v>
      </c>
      <c r="G16" s="18">
        <f>IFERROR(F16/D16,"")</f>
        <v>-0.1671825276</v>
      </c>
      <c r="H16" s="9" t="str">
        <f>IF(D16=0,"新增",IF(E16=0,"消失",IF(F16&gt;0,"增加",IF(F16&lt;0,"減少","無變化"))))</f>
        <v>減少</v>
      </c>
    </row>
    <row r="17">
      <c r="A17" s="9" t="inlineStr">
        <is>
          <t>GU-22</t>
        </is>
      </c>
      <c r="B17" s="9" t="inlineStr">
        <is>
          <t>60226F069E</t>
        </is>
      </c>
      <c r="C17" s="9" t="inlineStr">
        <is>
          <t>Woven</t>
        </is>
      </c>
      <c r="D17" s="17" t="n">
        <v>28438</v>
      </c>
      <c r="E17" s="17" t="n">
        <v>24706</v>
      </c>
      <c r="F17" s="17">
        <f>E17-D17</f>
        <v>-3732</v>
      </c>
      <c r="G17" s="18">
        <f>IFERROR(F17/D17,"")</f>
        <v>-0.1312328574</v>
      </c>
      <c r="H17" s="9" t="str">
        <f>IF(D17=0,"新增",IF(E17=0,"消失",IF(F17&gt;0,"增加",IF(F17&lt;0,"減少","無變化"))))</f>
        <v>減少</v>
      </c>
    </row>
    <row r="18">
      <c r="A18" s="9" t="inlineStr">
        <is>
          <t>GU-22</t>
        </is>
      </c>
      <c r="B18" s="9" t="inlineStr">
        <is>
          <t>60226F026E</t>
        </is>
      </c>
      <c r="C18" s="9" t="inlineStr">
        <is>
          <t>Woven</t>
        </is>
      </c>
      <c r="D18" s="17" t="n">
        <v>7396</v>
      </c>
      <c r="E18" s="17" t="n">
        <v>4050</v>
      </c>
      <c r="F18" s="17">
        <f>E18-D18</f>
        <v>-3346</v>
      </c>
      <c r="G18" s="18">
        <f>IFERROR(F18/D18,"")</f>
        <v>-0.4524067063</v>
      </c>
      <c r="H18" s="9" t="str">
        <f>IF(D18=0,"新增",IF(E18=0,"消失",IF(F18&gt;0,"增加",IF(F18&lt;0,"減少","無變化"))))</f>
        <v>減少</v>
      </c>
    </row>
    <row r="19">
      <c r="A19" s="9" t="inlineStr">
        <is>
          <t>GU-23</t>
        </is>
      </c>
      <c r="B19" s="9" t="inlineStr">
        <is>
          <t>60237N018A</t>
        </is>
      </c>
      <c r="C19" s="9" t="inlineStr">
        <is>
          <t>Woven</t>
        </is>
      </c>
      <c r="D19" s="17" t="n">
        <v>4916</v>
      </c>
      <c r="E19" s="17" t="n">
        <v>1936</v>
      </c>
      <c r="F19" s="17">
        <f>E19-D19</f>
        <v>-2980</v>
      </c>
      <c r="G19" s="18">
        <f>IFERROR(F19/D19,"")</f>
        <v>-0.6061838893</v>
      </c>
      <c r="H19" s="9" t="str">
        <f>IF(D19=0,"新增",IF(E19=0,"消失",IF(F19&gt;0,"增加",IF(F19&lt;0,"減少","無變化"))))</f>
        <v>減少</v>
      </c>
    </row>
    <row r="20">
      <c r="A20" s="9" t="inlineStr">
        <is>
          <t>GU-22</t>
        </is>
      </c>
      <c r="B20" s="9" t="inlineStr">
        <is>
          <t>60227N041A</t>
        </is>
      </c>
      <c r="C20" s="9" t="inlineStr">
        <is>
          <t>Woven</t>
        </is>
      </c>
      <c r="D20" s="17" t="n">
        <v>57265</v>
      </c>
      <c r="E20" s="17" t="n">
        <v>54647</v>
      </c>
      <c r="F20" s="17">
        <f>E20-D20</f>
        <v>-2618</v>
      </c>
      <c r="G20" s="18">
        <f>IFERROR(F20/D20,"")</f>
        <v>-0.0457172793</v>
      </c>
      <c r="H20" s="9" t="str">
        <f>IF(D20=0,"新增",IF(E20=0,"消失",IF(F20&gt;0,"增加",IF(F20&lt;0,"減少","無變化"))))</f>
        <v>減少</v>
      </c>
    </row>
    <row r="21">
      <c r="A21" s="9" t="inlineStr">
        <is>
          <t>GU-32</t>
        </is>
      </c>
      <c r="B21" s="9" t="inlineStr">
        <is>
          <t>60327H055A</t>
        </is>
      </c>
      <c r="C21" s="9" t="inlineStr">
        <is>
          <t>Woven</t>
        </is>
      </c>
      <c r="D21" s="17" t="n">
        <v>56750</v>
      </c>
      <c r="E21" s="17" t="n">
        <v>54307</v>
      </c>
      <c r="F21" s="17">
        <f>E21-D21</f>
        <v>-2443</v>
      </c>
      <c r="G21" s="18">
        <f>IFERROR(F21/D21,"")</f>
        <v>-0.0430484581</v>
      </c>
      <c r="H21" s="9" t="str">
        <f>IF(D21=0,"新增",IF(E21=0,"消失",IF(F21&gt;0,"增加",IF(F21&lt;0,"減少","無變化"))))</f>
        <v>減少</v>
      </c>
    </row>
    <row r="22">
      <c r="A22" s="9" t="inlineStr">
        <is>
          <t>GU-32</t>
        </is>
      </c>
      <c r="B22" s="9" t="inlineStr">
        <is>
          <t>60327H092A</t>
        </is>
      </c>
      <c r="C22" s="9" t="inlineStr">
        <is>
          <t>Woven</t>
        </is>
      </c>
      <c r="D22" s="17" t="n">
        <v>5086</v>
      </c>
      <c r="E22" s="17" t="n">
        <v>2689</v>
      </c>
      <c r="F22" s="17">
        <f>E22-D22</f>
        <v>-2397</v>
      </c>
      <c r="G22" s="18">
        <f>IFERROR(F22/D22,"")</f>
        <v>-0.4712937475</v>
      </c>
      <c r="H22" s="9" t="str">
        <f>IF(D22=0,"新增",IF(E22=0,"消失",IF(F22&gt;0,"增加",IF(F22&lt;0,"減少","無變化"))))</f>
        <v>減少</v>
      </c>
    </row>
    <row r="23">
      <c r="A23" s="9" t="inlineStr">
        <is>
          <t>GU-22</t>
        </is>
      </c>
      <c r="B23" s="9" t="inlineStr">
        <is>
          <t>60227H016A</t>
        </is>
      </c>
      <c r="C23" s="9" t="inlineStr">
        <is>
          <t>Woven</t>
        </is>
      </c>
      <c r="D23" s="17" t="n">
        <v>2157</v>
      </c>
      <c r="E23" s="17" t="n">
        <v>177</v>
      </c>
      <c r="F23" s="17">
        <f>E23-D23</f>
        <v>-1980</v>
      </c>
      <c r="G23" s="18">
        <f>IFERROR(F23/D23,"")</f>
        <v>-0.9179415855</v>
      </c>
      <c r="H23" s="9" t="str">
        <f>IF(D23=0,"新增",IF(E23=0,"消失",IF(F23&gt;0,"增加",IF(F23&lt;0,"減少","無變化"))))</f>
        <v>減少</v>
      </c>
    </row>
    <row r="24">
      <c r="A24" s="9" t="inlineStr">
        <is>
          <t>GU-23</t>
        </is>
      </c>
      <c r="B24" s="9" t="inlineStr">
        <is>
          <t>60237H010A</t>
        </is>
      </c>
      <c r="C24" s="9" t="inlineStr">
        <is>
          <t>Woven</t>
        </is>
      </c>
      <c r="D24" s="17" t="n">
        <v>15305</v>
      </c>
      <c r="E24" s="17" t="n">
        <v>13547</v>
      </c>
      <c r="F24" s="17">
        <f>E24-D24</f>
        <v>-1758</v>
      </c>
      <c r="G24" s="18">
        <f>IFERROR(F24/D24,"")</f>
        <v>-0.1148644234</v>
      </c>
      <c r="H24" s="9" t="str">
        <f>IF(D24=0,"新增",IF(E24=0,"消失",IF(F24&gt;0,"增加",IF(F24&lt;0,"減少","無變化"))))</f>
        <v>減少</v>
      </c>
    </row>
    <row r="25">
      <c r="A25" s="9" t="inlineStr">
        <is>
          <t>GU-17</t>
        </is>
      </c>
      <c r="B25" s="9" t="inlineStr">
        <is>
          <t>60176F040A</t>
        </is>
      </c>
      <c r="C25" s="9" t="inlineStr">
        <is>
          <t>Knit</t>
        </is>
      </c>
      <c r="D25" s="17" t="n">
        <v>8046</v>
      </c>
      <c r="E25" s="17" t="n">
        <v>6360</v>
      </c>
      <c r="F25" s="17">
        <f>E25-D25</f>
        <v>-1686</v>
      </c>
      <c r="G25" s="18">
        <f>IFERROR(F25/D25,"")</f>
        <v>-0.2095451156</v>
      </c>
      <c r="H25" s="9" t="str">
        <f>IF(D25=0,"新增",IF(E25=0,"消失",IF(F25&gt;0,"增加",IF(F25&lt;0,"減少","無變化"))))</f>
        <v>減少</v>
      </c>
    </row>
    <row r="26">
      <c r="A26" s="9" t="inlineStr">
        <is>
          <t>GU-22</t>
        </is>
      </c>
      <c r="B26" s="9" t="inlineStr">
        <is>
          <t>60226F051D</t>
        </is>
      </c>
      <c r="C26" s="9" t="inlineStr">
        <is>
          <t>Woven</t>
        </is>
      </c>
      <c r="D26" s="17" t="n">
        <v>23220</v>
      </c>
      <c r="E26" s="17" t="n">
        <v>21833</v>
      </c>
      <c r="F26" s="17">
        <f>E26-D26</f>
        <v>-1387</v>
      </c>
      <c r="G26" s="18">
        <f>IFERROR(F26/D26,"")</f>
        <v>-0.0597329888</v>
      </c>
      <c r="H26" s="9" t="str">
        <f>IF(D26=0,"新增",IF(E26=0,"消失",IF(F26&gt;0,"增加",IF(F26&lt;0,"減少","無變化"))))</f>
        <v>減少</v>
      </c>
    </row>
    <row r="27">
      <c r="A27" s="9" t="inlineStr">
        <is>
          <t>GU-23</t>
        </is>
      </c>
      <c r="B27" s="9" t="inlineStr">
        <is>
          <t>60237H004A</t>
        </is>
      </c>
      <c r="C27" s="9" t="inlineStr">
        <is>
          <t>Woven</t>
        </is>
      </c>
      <c r="D27" s="17" t="n">
        <v>22741</v>
      </c>
      <c r="E27" s="17" t="n">
        <v>21667</v>
      </c>
      <c r="F27" s="17">
        <f>E27-D27</f>
        <v>-1074</v>
      </c>
      <c r="G27" s="18">
        <f>IFERROR(F27/D27,"")</f>
        <v>-0.0472274746</v>
      </c>
      <c r="H27" s="9" t="str">
        <f>IF(D27=0,"新增",IF(E27=0,"消失",IF(F27&gt;0,"增加",IF(F27&lt;0,"減少","無變化"))))</f>
        <v>減少</v>
      </c>
    </row>
    <row r="28">
      <c r="A28" s="9" t="inlineStr">
        <is>
          <t>GU-22</t>
        </is>
      </c>
      <c r="B28" s="9" t="inlineStr">
        <is>
          <t>60227H019I</t>
        </is>
      </c>
      <c r="C28" s="9" t="inlineStr">
        <is>
          <t>Woven</t>
        </is>
      </c>
      <c r="D28" s="17" t="n">
        <v>800</v>
      </c>
      <c r="E28" s="17" t="n">
        <v>0</v>
      </c>
      <c r="F28" s="17">
        <f>E28-D28</f>
        <v>-800</v>
      </c>
      <c r="G28" s="18">
        <f>IFERROR(F28/D28,"")</f>
        <v>-1.0</v>
      </c>
      <c r="H28" s="9" t="str">
        <f>IF(D28=0,"新增",IF(E28=0,"消失",IF(F28&gt;0,"增加",IF(F28&lt;0,"減少","無變化"))))</f>
        <v>消失</v>
      </c>
    </row>
    <row r="29">
      <c r="A29" s="9" t="inlineStr">
        <is>
          <t>GU-22</t>
        </is>
      </c>
      <c r="B29" s="9" t="inlineStr">
        <is>
          <t>60227H074A</t>
        </is>
      </c>
      <c r="C29" s="9" t="inlineStr">
        <is>
          <t>Woven</t>
        </is>
      </c>
      <c r="D29" s="17" t="n">
        <v>1894</v>
      </c>
      <c r="E29" s="17" t="n">
        <v>1200</v>
      </c>
      <c r="F29" s="17">
        <f>E29-D29</f>
        <v>-694</v>
      </c>
      <c r="G29" s="18">
        <f>IFERROR(F29/D29,"")</f>
        <v>-0.3664202746</v>
      </c>
      <c r="H29" s="9" t="str">
        <f>IF(D29=0,"新增",IF(E29=0,"消失",IF(F29&gt;0,"增加",IF(F29&lt;0,"減少","無變化"))))</f>
        <v>減少</v>
      </c>
    </row>
    <row r="30">
      <c r="A30" s="9" t="inlineStr">
        <is>
          <t>GU-22</t>
        </is>
      </c>
      <c r="B30" s="9" t="inlineStr">
        <is>
          <t>60227H062B</t>
        </is>
      </c>
      <c r="C30" s="9" t="inlineStr">
        <is>
          <t>Woven</t>
        </is>
      </c>
      <c r="D30" s="17" t="n">
        <v>12538</v>
      </c>
      <c r="E30" s="17" t="n">
        <v>11879</v>
      </c>
      <c r="F30" s="17">
        <f>E30-D30</f>
        <v>-659</v>
      </c>
      <c r="G30" s="18">
        <f>IFERROR(F30/D30,"")</f>
        <v>-0.0525602169</v>
      </c>
      <c r="H30" s="9" t="str">
        <f>IF(D30=0,"新增",IF(E30=0,"消失",IF(F30&gt;0,"增加",IF(F30&lt;0,"減少","無變化"))))</f>
        <v>減少</v>
      </c>
    </row>
    <row r="31">
      <c r="A31" s="9" t="inlineStr">
        <is>
          <t>GU-22</t>
        </is>
      </c>
      <c r="B31" s="9" t="inlineStr">
        <is>
          <t>60227H019H</t>
        </is>
      </c>
      <c r="C31" s="9" t="inlineStr">
        <is>
          <t>Woven</t>
        </is>
      </c>
      <c r="D31" s="17" t="n">
        <v>498</v>
      </c>
      <c r="E31" s="17" t="n">
        <v>0</v>
      </c>
      <c r="F31" s="17">
        <f>E31-D31</f>
        <v>-498</v>
      </c>
      <c r="G31" s="18">
        <f>IFERROR(F31/D31,"")</f>
        <v>-1.0</v>
      </c>
      <c r="H31" s="9" t="str">
        <f>IF(D31=0,"新增",IF(E31=0,"消失",IF(F31&gt;0,"增加",IF(F31&lt;0,"減少","無變化"))))</f>
        <v>消失</v>
      </c>
    </row>
    <row r="32">
      <c r="A32" s="9" t="inlineStr">
        <is>
          <t>GU-22</t>
        </is>
      </c>
      <c r="B32" s="9" t="inlineStr">
        <is>
          <t>60227H040A</t>
        </is>
      </c>
      <c r="C32" s="9" t="inlineStr">
        <is>
          <t>Woven</t>
        </is>
      </c>
      <c r="D32" s="17" t="n">
        <v>22472</v>
      </c>
      <c r="E32" s="17" t="n">
        <v>22015</v>
      </c>
      <c r="F32" s="17">
        <f>E32-D32</f>
        <v>-457</v>
      </c>
      <c r="G32" s="18">
        <f>IFERROR(F32/D32,"")</f>
        <v>-0.0203364187</v>
      </c>
      <c r="H32" s="9" t="str">
        <f>IF(D32=0,"新增",IF(E32=0,"消失",IF(F32&gt;0,"增加",IF(F32&lt;0,"減少","無變化"))))</f>
        <v>減少</v>
      </c>
    </row>
    <row r="33">
      <c r="A33" s="9" t="inlineStr">
        <is>
          <t>GU-22</t>
        </is>
      </c>
      <c r="B33" s="9" t="inlineStr">
        <is>
          <t>60227H047D</t>
        </is>
      </c>
      <c r="C33" s="9" t="inlineStr">
        <is>
          <t>Woven</t>
        </is>
      </c>
      <c r="D33" s="17" t="n">
        <v>4453</v>
      </c>
      <c r="E33" s="17" t="n">
        <v>4022</v>
      </c>
      <c r="F33" s="17">
        <f>E33-D33</f>
        <v>-431</v>
      </c>
      <c r="G33" s="18">
        <f>IFERROR(F33/D33,"")</f>
        <v>-0.0967886818</v>
      </c>
      <c r="H33" s="9" t="str">
        <f>IF(D33=0,"新增",IF(E33=0,"消失",IF(F33&gt;0,"增加",IF(F33&lt;0,"減少","無變化"))))</f>
        <v>減少</v>
      </c>
    </row>
    <row r="34">
      <c r="A34" s="9" t="inlineStr">
        <is>
          <t>GU-22</t>
        </is>
      </c>
      <c r="B34" s="9" t="inlineStr">
        <is>
          <t>60227N041C</t>
        </is>
      </c>
      <c r="C34" s="9" t="inlineStr">
        <is>
          <t>Woven</t>
        </is>
      </c>
      <c r="D34" s="17" t="n">
        <v>4932</v>
      </c>
      <c r="E34" s="17" t="n">
        <v>4599</v>
      </c>
      <c r="F34" s="17">
        <f>E34-D34</f>
        <v>-333</v>
      </c>
      <c r="G34" s="18">
        <f>IFERROR(F34/D34,"")</f>
        <v>-0.0675182482</v>
      </c>
      <c r="H34" s="9" t="str">
        <f>IF(D34=0,"新增",IF(E34=0,"消失",IF(F34&gt;0,"增加",IF(F34&lt;0,"減少","無變化"))))</f>
        <v>減少</v>
      </c>
    </row>
    <row r="35">
      <c r="A35" s="9" t="inlineStr">
        <is>
          <t>GU-22</t>
        </is>
      </c>
      <c r="B35" s="9" t="inlineStr">
        <is>
          <t>60227N007N</t>
        </is>
      </c>
      <c r="C35" s="9" t="inlineStr">
        <is>
          <t>Woven</t>
        </is>
      </c>
      <c r="D35" s="17" t="n">
        <v>2250</v>
      </c>
      <c r="E35" s="17" t="n">
        <v>1949</v>
      </c>
      <c r="F35" s="17">
        <f>E35-D35</f>
        <v>-301</v>
      </c>
      <c r="G35" s="18">
        <f>IFERROR(F35/D35,"")</f>
        <v>-0.1337777778</v>
      </c>
      <c r="H35" s="9" t="str">
        <f>IF(D35=0,"新增",IF(E35=0,"消失",IF(F35&gt;0,"增加",IF(F35&lt;0,"減少","無變化"))))</f>
        <v>減少</v>
      </c>
    </row>
    <row r="36">
      <c r="A36" s="9" t="inlineStr">
        <is>
          <t>GU-22</t>
        </is>
      </c>
      <c r="B36" s="9" t="inlineStr">
        <is>
          <t>60227H046D</t>
        </is>
      </c>
      <c r="C36" s="9" t="inlineStr">
        <is>
          <t>Woven</t>
        </is>
      </c>
      <c r="D36" s="17" t="n">
        <v>9533</v>
      </c>
      <c r="E36" s="17" t="n">
        <v>9290</v>
      </c>
      <c r="F36" s="17">
        <f>E36-D36</f>
        <v>-243</v>
      </c>
      <c r="G36" s="18">
        <f>IFERROR(F36/D36,"")</f>
        <v>-0.0254904018</v>
      </c>
      <c r="H36" s="9" t="str">
        <f>IF(D36=0,"新增",IF(E36=0,"消失",IF(F36&gt;0,"增加",IF(F36&lt;0,"減少","無變化"))))</f>
        <v>減少</v>
      </c>
    </row>
    <row r="37">
      <c r="A37" s="9" t="inlineStr">
        <is>
          <t>GU-22</t>
        </is>
      </c>
      <c r="B37" s="9" t="inlineStr">
        <is>
          <t>60227H047C</t>
        </is>
      </c>
      <c r="C37" s="9" t="inlineStr">
        <is>
          <t>Woven</t>
        </is>
      </c>
      <c r="D37" s="17" t="n">
        <v>1955</v>
      </c>
      <c r="E37" s="17" t="n">
        <v>1719</v>
      </c>
      <c r="F37" s="17">
        <f>E37-D37</f>
        <v>-236</v>
      </c>
      <c r="G37" s="18">
        <f>IFERROR(F37/D37,"")</f>
        <v>-0.1207161125</v>
      </c>
      <c r="H37" s="9" t="str">
        <f>IF(D37=0,"新增",IF(E37=0,"消失",IF(F37&gt;0,"增加",IF(F37&lt;0,"減少","無變化"))))</f>
        <v>減少</v>
      </c>
    </row>
    <row r="38">
      <c r="A38" s="9" t="inlineStr">
        <is>
          <t>GU-22</t>
        </is>
      </c>
      <c r="B38" s="9" t="inlineStr">
        <is>
          <t>60227N041B</t>
        </is>
      </c>
      <c r="C38" s="9" t="inlineStr">
        <is>
          <t>Woven</t>
        </is>
      </c>
      <c r="D38" s="17" t="n">
        <v>2277</v>
      </c>
      <c r="E38" s="17" t="n">
        <v>2062</v>
      </c>
      <c r="F38" s="17">
        <f>E38-D38</f>
        <v>-215</v>
      </c>
      <c r="G38" s="18">
        <f>IFERROR(F38/D38,"")</f>
        <v>-0.0944224857</v>
      </c>
      <c r="H38" s="9" t="str">
        <f>IF(D38=0,"新增",IF(E38=0,"消失",IF(F38&gt;0,"增加",IF(F38&lt;0,"減少","無變化"))))</f>
        <v>減少</v>
      </c>
    </row>
    <row r="39">
      <c r="A39" s="9" t="inlineStr">
        <is>
          <t>GU-22</t>
        </is>
      </c>
      <c r="B39" s="9" t="inlineStr">
        <is>
          <t>60227H046A</t>
        </is>
      </c>
      <c r="C39" s="9" t="inlineStr">
        <is>
          <t>Woven</t>
        </is>
      </c>
      <c r="D39" s="17" t="n">
        <v>11287</v>
      </c>
      <c r="E39" s="17" t="n">
        <v>11110</v>
      </c>
      <c r="F39" s="17">
        <f>E39-D39</f>
        <v>-177</v>
      </c>
      <c r="G39" s="18">
        <f>IFERROR(F39/D39,"")</f>
        <v>-0.0156817578</v>
      </c>
      <c r="H39" s="9" t="str">
        <f>IF(D39=0,"新增",IF(E39=0,"消失",IF(F39&gt;0,"增加",IF(F39&lt;0,"減少","無變化"))))</f>
        <v>減少</v>
      </c>
    </row>
    <row r="40">
      <c r="A40" s="9" t="inlineStr">
        <is>
          <t>GU-14</t>
        </is>
      </c>
      <c r="B40" s="9" t="inlineStr">
        <is>
          <t>60147N130B</t>
        </is>
      </c>
      <c r="C40" s="9" t="inlineStr">
        <is>
          <t>Woven</t>
        </is>
      </c>
      <c r="D40" s="17" t="n">
        <v>3675</v>
      </c>
      <c r="E40" s="17" t="n">
        <v>3554</v>
      </c>
      <c r="F40" s="17">
        <f>E40-D40</f>
        <v>-121</v>
      </c>
      <c r="G40" s="18">
        <f>IFERROR(F40/D40,"")</f>
        <v>-0.0329251701</v>
      </c>
      <c r="H40" s="9" t="str">
        <f>IF(D40=0,"新增",IF(E40=0,"消失",IF(F40&gt;0,"增加",IF(F40&lt;0,"減少","無變化"))))</f>
        <v>減少</v>
      </c>
    </row>
    <row r="41">
      <c r="A41" s="9" t="inlineStr">
        <is>
          <t>GU-23</t>
        </is>
      </c>
      <c r="B41" s="9" t="inlineStr">
        <is>
          <t>60236F014A</t>
        </is>
      </c>
      <c r="C41" s="9" t="inlineStr">
        <is>
          <t>Woven</t>
        </is>
      </c>
      <c r="D41" s="17" t="n">
        <v>21560</v>
      </c>
      <c r="E41" s="17" t="n">
        <v>21441</v>
      </c>
      <c r="F41" s="17">
        <f>E41-D41</f>
        <v>-119</v>
      </c>
      <c r="G41" s="18">
        <f>IFERROR(F41/D41,"")</f>
        <v>-0.0055194805</v>
      </c>
      <c r="H41" s="9" t="str">
        <f>IF(D41=0,"新增",IF(E41=0,"消失",IF(F41&gt;0,"增加",IF(F41&lt;0,"減少","無變化"))))</f>
        <v>減少</v>
      </c>
    </row>
    <row r="42">
      <c r="A42" s="9" t="inlineStr">
        <is>
          <t>GU-22</t>
        </is>
      </c>
      <c r="B42" s="9" t="inlineStr">
        <is>
          <t>60227H046B</t>
        </is>
      </c>
      <c r="C42" s="9" t="inlineStr">
        <is>
          <t>Woven</t>
        </is>
      </c>
      <c r="D42" s="17" t="n">
        <v>25595</v>
      </c>
      <c r="E42" s="17" t="n">
        <v>25496</v>
      </c>
      <c r="F42" s="17">
        <f>E42-D42</f>
        <v>-99</v>
      </c>
      <c r="G42" s="18">
        <f>IFERROR(F42/D42,"")</f>
        <v>-0.003867943</v>
      </c>
      <c r="H42" s="9" t="str">
        <f>IF(D42=0,"新增",IF(E42=0,"消失",IF(F42&gt;0,"增加",IF(F42&lt;0,"減少","無變化"))))</f>
        <v>減少</v>
      </c>
    </row>
    <row r="43">
      <c r="A43" s="9" t="inlineStr">
        <is>
          <t>GU-32</t>
        </is>
      </c>
      <c r="B43" s="9" t="inlineStr">
        <is>
          <t>60327H055D</t>
        </is>
      </c>
      <c r="C43" s="9" t="inlineStr">
        <is>
          <t>Woven</t>
        </is>
      </c>
      <c r="D43" s="17" t="n">
        <v>30163</v>
      </c>
      <c r="E43" s="17" t="n">
        <v>30097</v>
      </c>
      <c r="F43" s="17">
        <f>E43-D43</f>
        <v>-66</v>
      </c>
      <c r="G43" s="18">
        <f>IFERROR(F43/D43,"")</f>
        <v>-0.0021881113</v>
      </c>
      <c r="H43" s="9" t="str">
        <f>IF(D43=0,"新增",IF(E43=0,"消失",IF(F43&gt;0,"增加",IF(F43&lt;0,"減少","無變化"))))</f>
        <v>減少</v>
      </c>
    </row>
    <row r="44">
      <c r="A44" s="9" t="inlineStr">
        <is>
          <t>GU-27</t>
        </is>
      </c>
      <c r="B44" s="9" t="inlineStr">
        <is>
          <t>60277H118A</t>
        </is>
      </c>
      <c r="C44" s="9" t="inlineStr">
        <is>
          <t>Knit</t>
        </is>
      </c>
      <c r="D44" s="17" t="n">
        <v>51257</v>
      </c>
      <c r="E44" s="17" t="n">
        <v>51224</v>
      </c>
      <c r="F44" s="17">
        <f>E44-D44</f>
        <v>-33</v>
      </c>
      <c r="G44" s="18">
        <f>IFERROR(F44/D44,"")</f>
        <v>-0.0006438145</v>
      </c>
      <c r="H44" s="9" t="str">
        <f>IF(D44=0,"新增",IF(E44=0,"消失",IF(F44&gt;0,"增加",IF(F44&lt;0,"減少","無變化"))))</f>
        <v>減少</v>
      </c>
    </row>
    <row r="45">
      <c r="A45" s="9" t="inlineStr">
        <is>
          <t>GU-32</t>
        </is>
      </c>
      <c r="B45" s="9" t="inlineStr">
        <is>
          <t>60326F065A</t>
        </is>
      </c>
      <c r="C45" s="9" t="inlineStr">
        <is>
          <t>Woven</t>
        </is>
      </c>
      <c r="D45" s="17" t="n">
        <v>20319</v>
      </c>
      <c r="E45" s="17" t="n">
        <v>20290</v>
      </c>
      <c r="F45" s="17">
        <f>E45-D45</f>
        <v>-29</v>
      </c>
      <c r="G45" s="18">
        <f>IFERROR(F45/D45,"")</f>
        <v>-0.0014272356</v>
      </c>
      <c r="H45" s="9" t="str">
        <f>IF(D45=0,"新增",IF(E45=0,"消失",IF(F45&gt;0,"增加",IF(F45&lt;0,"減少","無變化"))))</f>
        <v>減少</v>
      </c>
    </row>
    <row r="46">
      <c r="A46" s="9" t="inlineStr">
        <is>
          <t>GU-23</t>
        </is>
      </c>
      <c r="B46" s="9" t="inlineStr">
        <is>
          <t>60237N054A</t>
        </is>
      </c>
      <c r="C46" s="9" t="inlineStr">
        <is>
          <t>Woven</t>
        </is>
      </c>
      <c r="D46" s="17" t="n">
        <v>1479</v>
      </c>
      <c r="E46" s="17" t="n">
        <v>1458</v>
      </c>
      <c r="F46" s="17">
        <f>E46-D46</f>
        <v>-21</v>
      </c>
      <c r="G46" s="18">
        <f>IFERROR(F46/D46,"")</f>
        <v>-0.014198783</v>
      </c>
      <c r="H46" s="9" t="str">
        <f>IF(D46=0,"新增",IF(E46=0,"消失",IF(F46&gt;0,"增加",IF(F46&lt;0,"減少","無變化"))))</f>
        <v>減少</v>
      </c>
    </row>
    <row r="47">
      <c r="A47" s="9" t="inlineStr">
        <is>
          <t>GU-22</t>
        </is>
      </c>
      <c r="B47" s="9" t="inlineStr">
        <is>
          <t>60227N002B</t>
        </is>
      </c>
      <c r="C47" s="9" t="inlineStr">
        <is>
          <t>Woven</t>
        </is>
      </c>
      <c r="D47" s="17" t="n">
        <v>6614</v>
      </c>
      <c r="E47" s="17" t="n">
        <v>6600</v>
      </c>
      <c r="F47" s="17">
        <f>E47-D47</f>
        <v>-14</v>
      </c>
      <c r="G47" s="18">
        <f>IFERROR(F47/D47,"")</f>
        <v>-0.0021167221</v>
      </c>
      <c r="H47" s="9" t="str">
        <f>IF(D47=0,"新增",IF(E47=0,"消失",IF(F47&gt;0,"增加",IF(F47&lt;0,"減少","無變化"))))</f>
        <v>減少</v>
      </c>
    </row>
    <row r="48">
      <c r="A48" s="9" t="inlineStr">
        <is>
          <t>GU-22</t>
        </is>
      </c>
      <c r="B48" s="9" t="inlineStr">
        <is>
          <t>60227H039A</t>
        </is>
      </c>
      <c r="C48" s="9" t="inlineStr">
        <is>
          <t>Woven</t>
        </is>
      </c>
      <c r="D48" s="17" t="n">
        <v>29988</v>
      </c>
      <c r="E48" s="17" t="n">
        <v>29982</v>
      </c>
      <c r="F48" s="17">
        <f>E48-D48</f>
        <v>-6</v>
      </c>
      <c r="G48" s="18">
        <f>IFERROR(F48/D48,"")</f>
        <v>-0.00020008</v>
      </c>
      <c r="H48" s="9" t="str">
        <f>IF(D48=0,"新增",IF(E48=0,"消失",IF(F48&gt;0,"增加",IF(F48&lt;0,"減少","無變化"))))</f>
        <v>減少</v>
      </c>
    </row>
    <row r="49">
      <c r="A49" s="9" t="inlineStr">
        <is>
          <t>GU-22</t>
        </is>
      </c>
      <c r="B49" s="9" t="inlineStr">
        <is>
          <t>60227H034A</t>
        </is>
      </c>
      <c r="C49" s="9" t="inlineStr">
        <is>
          <t>Woven</t>
        </is>
      </c>
      <c r="D49" s="17" t="n">
        <v>15792</v>
      </c>
      <c r="E49" s="17" t="n">
        <v>15789</v>
      </c>
      <c r="F49" s="17">
        <f>E49-D49</f>
        <v>-3</v>
      </c>
      <c r="G49" s="18">
        <f>IFERROR(F49/D49,"")</f>
        <v>-0.0001899696</v>
      </c>
      <c r="H49" s="9" t="str">
        <f>IF(D49=0,"新增",IF(E49=0,"消失",IF(F49&gt;0,"增加",IF(F49&lt;0,"減少","無變化"))))</f>
        <v>減少</v>
      </c>
    </row>
    <row r="50">
      <c r="A50" s="9" t="inlineStr">
        <is>
          <t>GU-22</t>
        </is>
      </c>
      <c r="B50" s="9" t="inlineStr">
        <is>
          <t>60226F071A</t>
        </is>
      </c>
      <c r="C50" s="9" t="inlineStr">
        <is>
          <t>Woven</t>
        </is>
      </c>
      <c r="D50" s="17" t="n">
        <v>15977</v>
      </c>
      <c r="E50" s="17" t="n">
        <v>15975</v>
      </c>
      <c r="F50" s="17">
        <f>E50-D50</f>
        <v>-2</v>
      </c>
      <c r="G50" s="18">
        <f>IFERROR(F50/D50,"")</f>
        <v>-0.0001251799</v>
      </c>
      <c r="H50" s="9" t="str">
        <f>IF(D50=0,"新增",IF(E50=0,"消失",IF(F50&gt;0,"增加",IF(F50&lt;0,"減少","無變化"))))</f>
        <v>減少</v>
      </c>
    </row>
    <row r="51">
      <c r="A51" s="9" t="inlineStr">
        <is>
          <t>GU-22</t>
        </is>
      </c>
      <c r="B51" s="9" t="inlineStr">
        <is>
          <t>60226F073E</t>
        </is>
      </c>
      <c r="C51" s="9" t="inlineStr">
        <is>
          <t>Knit</t>
        </is>
      </c>
      <c r="D51" s="17" t="n">
        <v>42227</v>
      </c>
      <c r="E51" s="17" t="n">
        <v>42225</v>
      </c>
      <c r="F51" s="17">
        <f>E51-D51</f>
        <v>-2</v>
      </c>
      <c r="G51" s="18">
        <f>IFERROR(F51/D51,"")</f>
        <v>-4.73631e-05</v>
      </c>
      <c r="H51" s="9" t="str">
        <f>IF(D51=0,"新增",IF(E51=0,"消失",IF(F51&gt;0,"增加",IF(F51&lt;0,"減少","無變化"))))</f>
        <v>減少</v>
      </c>
    </row>
    <row r="52">
      <c r="A52" s="9" t="inlineStr">
        <is>
          <t>GU-22</t>
        </is>
      </c>
      <c r="B52" s="9" t="inlineStr">
        <is>
          <t>60226F033A</t>
        </is>
      </c>
      <c r="C52" s="9" t="inlineStr">
        <is>
          <t>Woven</t>
        </is>
      </c>
      <c r="D52" s="17" t="n">
        <v>768</v>
      </c>
      <c r="E52" s="17" t="n">
        <v>766</v>
      </c>
      <c r="F52" s="17">
        <f>E52-D52</f>
        <v>-2</v>
      </c>
      <c r="G52" s="18">
        <f>IFERROR(F52/D52,"")</f>
        <v>-0.0026041667</v>
      </c>
      <c r="H52" s="9" t="str">
        <f>IF(D52=0,"新增",IF(E52=0,"消失",IF(F52&gt;0,"增加",IF(F52&lt;0,"減少","無變化"))))</f>
        <v>減少</v>
      </c>
    </row>
    <row r="53">
      <c r="A53" s="9" t="inlineStr">
        <is>
          <t>GU-12</t>
        </is>
      </c>
      <c r="B53" s="9" t="inlineStr">
        <is>
          <t>60126F056A</t>
        </is>
      </c>
      <c r="C53" s="9" t="inlineStr">
        <is>
          <t>Knit</t>
        </is>
      </c>
      <c r="D53" s="17" t="n">
        <v>18931</v>
      </c>
      <c r="E53" s="17" t="n">
        <v>18929</v>
      </c>
      <c r="F53" s="17">
        <f>E53-D53</f>
        <v>-2</v>
      </c>
      <c r="G53" s="18">
        <f>IFERROR(F53/D53,"")</f>
        <v>-0.0001056468</v>
      </c>
      <c r="H53" s="9" t="str">
        <f>IF(D53=0,"新增",IF(E53=0,"消失",IF(F53&gt;0,"增加",IF(F53&lt;0,"減少","無變化"))))</f>
        <v>減少</v>
      </c>
    </row>
    <row r="54">
      <c r="A54" s="9" t="inlineStr">
        <is>
          <t>GU-12</t>
        </is>
      </c>
      <c r="B54" s="9" t="inlineStr">
        <is>
          <t>60126N024B</t>
        </is>
      </c>
      <c r="C54" s="9" t="inlineStr">
        <is>
          <t>Knit</t>
        </is>
      </c>
      <c r="D54" s="17" t="n">
        <v>2838</v>
      </c>
      <c r="E54" s="17" t="n">
        <v>2837</v>
      </c>
      <c r="F54" s="17">
        <f>E54-D54</f>
        <v>-1</v>
      </c>
      <c r="G54" s="18">
        <f>IFERROR(F54/D54,"")</f>
        <v>-0.0003523608</v>
      </c>
      <c r="H54" s="9" t="str">
        <f>IF(D54=0,"新增",IF(E54=0,"消失",IF(F54&gt;0,"增加",IF(F54&lt;0,"減少","無變化"))))</f>
        <v>減少</v>
      </c>
    </row>
    <row r="55">
      <c r="A55" s="9" t="inlineStr">
        <is>
          <t>GU-17</t>
        </is>
      </c>
      <c r="B55" s="9" t="inlineStr">
        <is>
          <t>60176F037A</t>
        </is>
      </c>
      <c r="C55" s="9" t="inlineStr">
        <is>
          <t>Knit</t>
        </is>
      </c>
      <c r="D55" s="17" t="n">
        <v>3331</v>
      </c>
      <c r="E55" s="17" t="n">
        <v>3330</v>
      </c>
      <c r="F55" s="17">
        <f>E55-D55</f>
        <v>-1</v>
      </c>
      <c r="G55" s="18">
        <f>IFERROR(F55/D55,"")</f>
        <v>-0.0003002101</v>
      </c>
      <c r="H55" s="9" t="str">
        <f>IF(D55=0,"新增",IF(E55=0,"消失",IF(F55&gt;0,"增加",IF(F55&lt;0,"減少","無變化"))))</f>
        <v>減少</v>
      </c>
    </row>
    <row r="56">
      <c r="A56" s="9" t="inlineStr">
        <is>
          <t>GU-22</t>
        </is>
      </c>
      <c r="B56" s="9" t="inlineStr">
        <is>
          <t>60226F078A</t>
        </is>
      </c>
      <c r="C56" s="9" t="inlineStr">
        <is>
          <t>Knit</t>
        </is>
      </c>
      <c r="D56" s="17" t="n">
        <v>18201</v>
      </c>
      <c r="E56" s="17" t="n">
        <v>18200</v>
      </c>
      <c r="F56" s="17">
        <f>E56-D56</f>
        <v>-1</v>
      </c>
      <c r="G56" s="18">
        <f>IFERROR(F56/D56,"")</f>
        <v>-5.4942e-05</v>
      </c>
      <c r="H56" s="9" t="str">
        <f>IF(D56=0,"新增",IF(E56=0,"消失",IF(F56&gt;0,"增加",IF(F56&lt;0,"減少","無變化"))))</f>
        <v>減少</v>
      </c>
    </row>
    <row r="57">
      <c r="A57" s="9" t="inlineStr">
        <is>
          <t>GU-22</t>
        </is>
      </c>
      <c r="B57" s="9" t="inlineStr">
        <is>
          <t>60226F051F</t>
        </is>
      </c>
      <c r="C57" s="9" t="inlineStr">
        <is>
          <t>Woven</t>
        </is>
      </c>
      <c r="D57" s="17" t="n">
        <v>1028</v>
      </c>
      <c r="E57" s="17" t="n">
        <v>1029</v>
      </c>
      <c r="F57" s="17">
        <f>E57-D57</f>
        <v>1</v>
      </c>
      <c r="G57" s="18">
        <f>IFERROR(F57/D57,"")</f>
        <v>0.0009727626</v>
      </c>
      <c r="H57" s="9" t="str">
        <f>IF(D57=0,"新增",IF(E57=0,"消失",IF(F57&gt;0,"增加",IF(F57&lt;0,"減少","無變化"))))</f>
        <v>增加</v>
      </c>
    </row>
    <row r="58">
      <c r="A58" s="9" t="inlineStr">
        <is>
          <t>GU-37</t>
        </is>
      </c>
      <c r="B58" s="9" t="inlineStr">
        <is>
          <t>60376N007A</t>
        </is>
      </c>
      <c r="C58" s="9" t="inlineStr">
        <is>
          <t>Knit</t>
        </is>
      </c>
      <c r="D58" s="17" t="n">
        <v>9893</v>
      </c>
      <c r="E58" s="17" t="n">
        <v>9894</v>
      </c>
      <c r="F58" s="17">
        <f>E58-D58</f>
        <v>1</v>
      </c>
      <c r="G58" s="18">
        <f>IFERROR(F58/D58,"")</f>
        <v>0.0001010816</v>
      </c>
      <c r="H58" s="9" t="str">
        <f>IF(D58=0,"新增",IF(E58=0,"消失",IF(F58&gt;0,"增加",IF(F58&lt;0,"減少","無變化"))))</f>
        <v>增加</v>
      </c>
    </row>
    <row r="59">
      <c r="A59" s="9" t="inlineStr">
        <is>
          <t>GU-23</t>
        </is>
      </c>
      <c r="B59" s="9" t="inlineStr">
        <is>
          <t>60236F003D</t>
        </is>
      </c>
      <c r="C59" s="9" t="inlineStr">
        <is>
          <t>Woven</t>
        </is>
      </c>
      <c r="D59" s="17" t="n">
        <v>13851</v>
      </c>
      <c r="E59" s="17" t="n">
        <v>13852</v>
      </c>
      <c r="F59" s="17">
        <f>E59-D59</f>
        <v>1</v>
      </c>
      <c r="G59" s="18">
        <f>IFERROR(F59/D59,"")</f>
        <v>7.2197e-05</v>
      </c>
      <c r="H59" s="9" t="str">
        <f>IF(D59=0,"新增",IF(E59=0,"消失",IF(F59&gt;0,"增加",IF(F59&lt;0,"減少","無變化"))))</f>
        <v>增加</v>
      </c>
    </row>
    <row r="60">
      <c r="A60" s="9" t="inlineStr">
        <is>
          <t>GU-23</t>
        </is>
      </c>
      <c r="B60" s="9" t="inlineStr">
        <is>
          <t>60236F015A</t>
        </is>
      </c>
      <c r="C60" s="9" t="inlineStr">
        <is>
          <t>Woven</t>
        </is>
      </c>
      <c r="D60" s="17" t="n">
        <v>5345</v>
      </c>
      <c r="E60" s="17" t="n">
        <v>5347</v>
      </c>
      <c r="F60" s="17">
        <f>E60-D60</f>
        <v>2</v>
      </c>
      <c r="G60" s="18">
        <f>IFERROR(F60/D60,"")</f>
        <v>0.0003741815</v>
      </c>
      <c r="H60" s="9" t="str">
        <f>IF(D60=0,"新增",IF(E60=0,"消失",IF(F60&gt;0,"增加",IF(F60&lt;0,"減少","無變化"))))</f>
        <v>增加</v>
      </c>
    </row>
    <row r="61">
      <c r="A61" s="9" t="inlineStr">
        <is>
          <t>GU-32</t>
        </is>
      </c>
      <c r="B61" s="9" t="inlineStr">
        <is>
          <t>60327H051C</t>
        </is>
      </c>
      <c r="C61" s="9" t="inlineStr">
        <is>
          <t>Woven</t>
        </is>
      </c>
      <c r="D61" s="17" t="n">
        <v>7521</v>
      </c>
      <c r="E61" s="17" t="n">
        <v>7523</v>
      </c>
      <c r="F61" s="17">
        <f>E61-D61</f>
        <v>2</v>
      </c>
      <c r="G61" s="18">
        <f>IFERROR(F61/D61,"")</f>
        <v>0.0002659221</v>
      </c>
      <c r="H61" s="9" t="str">
        <f>IF(D61=0,"新增",IF(E61=0,"消失",IF(F61&gt;0,"增加",IF(F61&lt;0,"減少","無變化"))))</f>
        <v>增加</v>
      </c>
    </row>
    <row r="62">
      <c r="A62" s="9" t="inlineStr">
        <is>
          <t>GU-22</t>
        </is>
      </c>
      <c r="B62" s="9" t="inlineStr">
        <is>
          <t>60226N030B</t>
        </is>
      </c>
      <c r="C62" s="9" t="inlineStr">
        <is>
          <t>Woven</t>
        </is>
      </c>
      <c r="D62" s="17" t="n">
        <v>19592</v>
      </c>
      <c r="E62" s="17" t="n">
        <v>19594</v>
      </c>
      <c r="F62" s="17">
        <f>E62-D62</f>
        <v>2</v>
      </c>
      <c r="G62" s="18">
        <f>IFERROR(F62/D62,"")</f>
        <v>0.0001020825</v>
      </c>
      <c r="H62" s="9" t="str">
        <f>IF(D62=0,"新增",IF(E62=0,"消失",IF(F62&gt;0,"增加",IF(F62&lt;0,"減少","無變化"))))</f>
        <v>增加</v>
      </c>
    </row>
    <row r="63">
      <c r="A63" s="9" t="inlineStr">
        <is>
          <t>GU-14</t>
        </is>
      </c>
      <c r="B63" s="9" t="inlineStr">
        <is>
          <t>60147N124A</t>
        </is>
      </c>
      <c r="C63" s="9" t="inlineStr">
        <is>
          <t>Woven</t>
        </is>
      </c>
      <c r="D63" s="17" t="n">
        <v>8418</v>
      </c>
      <c r="E63" s="17" t="n">
        <v>8420</v>
      </c>
      <c r="F63" s="17">
        <f>E63-D63</f>
        <v>2</v>
      </c>
      <c r="G63" s="18">
        <f>IFERROR(F63/D63,"")</f>
        <v>0.0002375861</v>
      </c>
      <c r="H63" s="9" t="str">
        <f>IF(D63=0,"新增",IF(E63=0,"消失",IF(F63&gt;0,"增加",IF(F63&lt;0,"減少","無變化"))))</f>
        <v>增加</v>
      </c>
    </row>
    <row r="64">
      <c r="A64" s="9" t="inlineStr">
        <is>
          <t>GU-32</t>
        </is>
      </c>
      <c r="B64" s="9" t="inlineStr">
        <is>
          <t>60326F053B</t>
        </is>
      </c>
      <c r="C64" s="9" t="inlineStr">
        <is>
          <t>Woven</t>
        </is>
      </c>
      <c r="D64" s="17" t="n">
        <v>4922</v>
      </c>
      <c r="E64" s="17" t="n">
        <v>4926</v>
      </c>
      <c r="F64" s="17">
        <f>E64-D64</f>
        <v>4</v>
      </c>
      <c r="G64" s="18">
        <f>IFERROR(F64/D64,"")</f>
        <v>0.0008126778</v>
      </c>
      <c r="H64" s="9" t="str">
        <f>IF(D64=0,"新增",IF(E64=0,"消失",IF(F64&gt;0,"增加",IF(F64&lt;0,"減少","無變化"))))</f>
        <v>增加</v>
      </c>
    </row>
    <row r="65">
      <c r="A65" s="9" t="inlineStr">
        <is>
          <t>GU-22</t>
        </is>
      </c>
      <c r="B65" s="9" t="inlineStr">
        <is>
          <t>60226F031A</t>
        </is>
      </c>
      <c r="C65" s="9" t="inlineStr">
        <is>
          <t>Woven</t>
        </is>
      </c>
      <c r="D65" s="17" t="n">
        <v>17436</v>
      </c>
      <c r="E65" s="17" t="n">
        <v>17442</v>
      </c>
      <c r="F65" s="17">
        <f>E65-D65</f>
        <v>6</v>
      </c>
      <c r="G65" s="18">
        <f>IFERROR(F65/D65,"")</f>
        <v>0.0003441156</v>
      </c>
      <c r="H65" s="9" t="str">
        <f>IF(D65=0,"新增",IF(E65=0,"消失",IF(F65&gt;0,"增加",IF(F65&lt;0,"減少","無變化"))))</f>
        <v>增加</v>
      </c>
    </row>
    <row r="66">
      <c r="A66" s="9" t="inlineStr">
        <is>
          <t>GU-22</t>
        </is>
      </c>
      <c r="B66" s="9" t="inlineStr">
        <is>
          <t>60227N002A</t>
        </is>
      </c>
      <c r="C66" s="9" t="inlineStr">
        <is>
          <t>Woven</t>
        </is>
      </c>
      <c r="D66" s="17" t="n">
        <v>24000</v>
      </c>
      <c r="E66" s="17" t="n">
        <v>24007</v>
      </c>
      <c r="F66" s="17">
        <f>E66-D66</f>
        <v>7</v>
      </c>
      <c r="G66" s="18">
        <f>IFERROR(F66/D66,"")</f>
        <v>0.0002916667</v>
      </c>
      <c r="H66" s="9" t="str">
        <f>IF(D66=0,"新增",IF(E66=0,"消失",IF(F66&gt;0,"增加",IF(F66&lt;0,"減少","無變化"))))</f>
        <v>增加</v>
      </c>
    </row>
    <row r="67">
      <c r="A67" s="9" t="inlineStr">
        <is>
          <t>GU-12</t>
        </is>
      </c>
      <c r="B67" s="9" t="inlineStr">
        <is>
          <t>60126F055C</t>
        </is>
      </c>
      <c r="C67" s="9" t="inlineStr">
        <is>
          <t>Woven</t>
        </is>
      </c>
      <c r="D67" s="17" t="n">
        <v>5623</v>
      </c>
      <c r="E67" s="17" t="n">
        <v>5632</v>
      </c>
      <c r="F67" s="17">
        <f>E67-D67</f>
        <v>9</v>
      </c>
      <c r="G67" s="18">
        <f>IFERROR(F67/D67,"")</f>
        <v>0.0016005691</v>
      </c>
      <c r="H67" s="9" t="str">
        <f>IF(D67=0,"新增",IF(E67=0,"消失",IF(F67&gt;0,"增加",IF(F67&lt;0,"減少","無變化"))))</f>
        <v>增加</v>
      </c>
    </row>
    <row r="68">
      <c r="A68" s="9" t="inlineStr">
        <is>
          <t>GU-22</t>
        </is>
      </c>
      <c r="B68" s="9" t="inlineStr">
        <is>
          <t>60226F034A</t>
        </is>
      </c>
      <c r="C68" s="9" t="inlineStr">
        <is>
          <t>Woven</t>
        </is>
      </c>
      <c r="D68" s="17" t="n">
        <v>11374</v>
      </c>
      <c r="E68" s="17" t="n">
        <v>11383</v>
      </c>
      <c r="F68" s="17">
        <f>E68-D68</f>
        <v>9</v>
      </c>
      <c r="G68" s="18">
        <f>IFERROR(F68/D68,"")</f>
        <v>0.0007912784</v>
      </c>
      <c r="H68" s="9" t="str">
        <f>IF(D68=0,"新增",IF(E68=0,"消失",IF(F68&gt;0,"增加",IF(F68&lt;0,"減少","無變化"))))</f>
        <v>增加</v>
      </c>
    </row>
    <row r="69">
      <c r="A69" s="9" t="inlineStr">
        <is>
          <t>GU-22</t>
        </is>
      </c>
      <c r="B69" s="9" t="inlineStr">
        <is>
          <t>60226N033A</t>
        </is>
      </c>
      <c r="C69" s="9" t="inlineStr">
        <is>
          <t>Woven</t>
        </is>
      </c>
      <c r="D69" s="17" t="n">
        <v>38994</v>
      </c>
      <c r="E69" s="17" t="n">
        <v>39006</v>
      </c>
      <c r="F69" s="17">
        <f>E69-D69</f>
        <v>12</v>
      </c>
      <c r="G69" s="18">
        <f>IFERROR(F69/D69,"")</f>
        <v>0.0003077397</v>
      </c>
      <c r="H69" s="9" t="str">
        <f>IF(D69=0,"新增",IF(E69=0,"消失",IF(F69&gt;0,"增加",IF(F69&lt;0,"減少","無變化"))))</f>
        <v>增加</v>
      </c>
    </row>
    <row r="70">
      <c r="A70" s="9" t="inlineStr">
        <is>
          <t>GU-12</t>
        </is>
      </c>
      <c r="B70" s="9" t="inlineStr">
        <is>
          <t>60126F055B</t>
        </is>
      </c>
      <c r="C70" s="9" t="inlineStr">
        <is>
          <t>Woven</t>
        </is>
      </c>
      <c r="D70" s="17" t="n">
        <v>5006</v>
      </c>
      <c r="E70" s="17" t="n">
        <v>5023</v>
      </c>
      <c r="F70" s="17">
        <f>E70-D70</f>
        <v>17</v>
      </c>
      <c r="G70" s="18">
        <f>IFERROR(F70/D70,"")</f>
        <v>0.0033959249</v>
      </c>
      <c r="H70" s="9" t="str">
        <f>IF(D70=0,"新增",IF(E70=0,"消失",IF(F70&gt;0,"增加",IF(F70&lt;0,"減少","無變化"))))</f>
        <v>增加</v>
      </c>
    </row>
    <row r="71">
      <c r="A71" s="9" t="inlineStr">
        <is>
          <t>GU-22</t>
        </is>
      </c>
      <c r="B71" s="9" t="inlineStr">
        <is>
          <t>60226F081A</t>
        </is>
      </c>
      <c r="C71" s="9" t="inlineStr">
        <is>
          <t>Woven</t>
        </is>
      </c>
      <c r="D71" s="17" t="n">
        <v>16840</v>
      </c>
      <c r="E71" s="17" t="n">
        <v>16862</v>
      </c>
      <c r="F71" s="17">
        <f>E71-D71</f>
        <v>22</v>
      </c>
      <c r="G71" s="18">
        <f>IFERROR(F71/D71,"")</f>
        <v>0.0013064133</v>
      </c>
      <c r="H71" s="9" t="str">
        <f>IF(D71=0,"新增",IF(E71=0,"消失",IF(F71&gt;0,"增加",IF(F71&lt;0,"減少","無變化"))))</f>
        <v>增加</v>
      </c>
    </row>
    <row r="72">
      <c r="A72" s="9" t="inlineStr">
        <is>
          <t>GU-32</t>
        </is>
      </c>
      <c r="B72" s="9" t="inlineStr">
        <is>
          <t>60326F068B</t>
        </is>
      </c>
      <c r="C72" s="9" t="inlineStr">
        <is>
          <t>Woven</t>
        </is>
      </c>
      <c r="D72" s="17" t="n">
        <v>9290</v>
      </c>
      <c r="E72" s="17" t="n">
        <v>9315</v>
      </c>
      <c r="F72" s="17">
        <f>E72-D72</f>
        <v>25</v>
      </c>
      <c r="G72" s="18">
        <f>IFERROR(F72/D72,"")</f>
        <v>0.0026910657</v>
      </c>
      <c r="H72" s="9" t="str">
        <f>IF(D72=0,"新增",IF(E72=0,"消失",IF(F72&gt;0,"增加",IF(F72&lt;0,"減少","無變化"))))</f>
        <v>增加</v>
      </c>
    </row>
    <row r="73">
      <c r="A73" s="9" t="inlineStr">
        <is>
          <t>GU-32</t>
        </is>
      </c>
      <c r="B73" s="9" t="inlineStr">
        <is>
          <t>60326N024A</t>
        </is>
      </c>
      <c r="C73" s="9" t="inlineStr">
        <is>
          <t>Woven</t>
        </is>
      </c>
      <c r="D73" s="17" t="n">
        <v>7944</v>
      </c>
      <c r="E73" s="17" t="n">
        <v>7971</v>
      </c>
      <c r="F73" s="17">
        <f>E73-D73</f>
        <v>27</v>
      </c>
      <c r="G73" s="18">
        <f>IFERROR(F73/D73,"")</f>
        <v>0.0033987915</v>
      </c>
      <c r="H73" s="9" t="str">
        <f>IF(D73=0,"新增",IF(E73=0,"消失",IF(F73&gt;0,"增加",IF(F73&lt;0,"減少","無變化"))))</f>
        <v>增加</v>
      </c>
    </row>
    <row r="74">
      <c r="A74" s="9" t="inlineStr">
        <is>
          <t>GU-32</t>
        </is>
      </c>
      <c r="B74" s="9" t="inlineStr">
        <is>
          <t>60326F051A</t>
        </is>
      </c>
      <c r="C74" s="9" t="inlineStr">
        <is>
          <t>Woven</t>
        </is>
      </c>
      <c r="D74" s="17" t="n">
        <v>27665</v>
      </c>
      <c r="E74" s="17" t="n">
        <v>27693</v>
      </c>
      <c r="F74" s="17">
        <f>E74-D74</f>
        <v>28</v>
      </c>
      <c r="G74" s="18">
        <f>IFERROR(F74/D74,"")</f>
        <v>0.0010121092</v>
      </c>
      <c r="H74" s="9" t="str">
        <f>IF(D74=0,"新增",IF(E74=0,"消失",IF(F74&gt;0,"增加",IF(F74&lt;0,"減少","無變化"))))</f>
        <v>增加</v>
      </c>
    </row>
    <row r="75">
      <c r="A75" s="9" t="inlineStr">
        <is>
          <t>GU-22</t>
        </is>
      </c>
      <c r="B75" s="9" t="inlineStr">
        <is>
          <t>60226N030C</t>
        </is>
      </c>
      <c r="C75" s="9" t="inlineStr">
        <is>
          <t>Woven</t>
        </is>
      </c>
      <c r="D75" s="17" t="n">
        <v>20103</v>
      </c>
      <c r="E75" s="17" t="n">
        <v>20132</v>
      </c>
      <c r="F75" s="17">
        <f>E75-D75</f>
        <v>29</v>
      </c>
      <c r="G75" s="18">
        <f>IFERROR(F75/D75,"")</f>
        <v>0.0014425708</v>
      </c>
      <c r="H75" s="9" t="str">
        <f>IF(D75=0,"新增",IF(E75=0,"消失",IF(F75&gt;0,"增加",IF(F75&lt;0,"減少","無變化"))))</f>
        <v>增加</v>
      </c>
    </row>
    <row r="76">
      <c r="A76" s="9" t="inlineStr">
        <is>
          <t>GU-27</t>
        </is>
      </c>
      <c r="B76" s="9" t="inlineStr">
        <is>
          <t>60276F008A</t>
        </is>
      </c>
      <c r="C76" s="9" t="inlineStr">
        <is>
          <t>Woven</t>
        </is>
      </c>
      <c r="D76" s="17" t="n">
        <v>2943</v>
      </c>
      <c r="E76" s="17" t="n">
        <v>2982</v>
      </c>
      <c r="F76" s="17">
        <f>E76-D76</f>
        <v>39</v>
      </c>
      <c r="G76" s="18">
        <f>IFERROR(F76/D76,"")</f>
        <v>0.0132517839</v>
      </c>
      <c r="H76" s="9" t="str">
        <f>IF(D76=0,"新增",IF(E76=0,"消失",IF(F76&gt;0,"增加",IF(F76&lt;0,"減少","無變化"))))</f>
        <v>增加</v>
      </c>
    </row>
    <row r="77">
      <c r="A77" s="9" t="inlineStr">
        <is>
          <t>GU-22</t>
        </is>
      </c>
      <c r="B77" s="9" t="inlineStr">
        <is>
          <t>60226F024A</t>
        </is>
      </c>
      <c r="C77" s="9" t="inlineStr">
        <is>
          <t>Woven</t>
        </is>
      </c>
      <c r="D77" s="17" t="n">
        <v>6699</v>
      </c>
      <c r="E77" s="17" t="n">
        <v>6741</v>
      </c>
      <c r="F77" s="17">
        <f>E77-D77</f>
        <v>42</v>
      </c>
      <c r="G77" s="18">
        <f>IFERROR(F77/D77,"")</f>
        <v>0.0062695925</v>
      </c>
      <c r="H77" s="9" t="str">
        <f>IF(D77=0,"新增",IF(E77=0,"消失",IF(F77&gt;0,"增加",IF(F77&lt;0,"減少","無變化"))))</f>
        <v>增加</v>
      </c>
    </row>
    <row r="78">
      <c r="A78" s="9" t="inlineStr">
        <is>
          <t>GU-32</t>
        </is>
      </c>
      <c r="B78" s="9" t="inlineStr">
        <is>
          <t>60326F051B</t>
        </is>
      </c>
      <c r="C78" s="9" t="inlineStr">
        <is>
          <t>Woven</t>
        </is>
      </c>
      <c r="D78" s="17" t="n">
        <v>5691</v>
      </c>
      <c r="E78" s="17" t="n">
        <v>5743</v>
      </c>
      <c r="F78" s="17">
        <f>E78-D78</f>
        <v>52</v>
      </c>
      <c r="G78" s="18">
        <f>IFERROR(F78/D78,"")</f>
        <v>0.0091372342</v>
      </c>
      <c r="H78" s="9" t="str">
        <f>IF(D78=0,"新增",IF(E78=0,"消失",IF(F78&gt;0,"增加",IF(F78&lt;0,"減少","無變化"))))</f>
        <v>增加</v>
      </c>
    </row>
    <row r="79">
      <c r="A79" s="9" t="inlineStr">
        <is>
          <t>GU-32</t>
        </is>
      </c>
      <c r="B79" s="9" t="inlineStr">
        <is>
          <t>60326F062C</t>
        </is>
      </c>
      <c r="C79" s="9" t="inlineStr">
        <is>
          <t>Woven</t>
        </is>
      </c>
      <c r="D79" s="17" t="n">
        <v>6308</v>
      </c>
      <c r="E79" s="17" t="n">
        <v>6365</v>
      </c>
      <c r="F79" s="17">
        <f>E79-D79</f>
        <v>57</v>
      </c>
      <c r="G79" s="18">
        <f>IFERROR(F79/D79,"")</f>
        <v>0.0090361446</v>
      </c>
      <c r="H79" s="9" t="str">
        <f>IF(D79=0,"新增",IF(E79=0,"消失",IF(F79&gt;0,"增加",IF(F79&lt;0,"減少","無變化"))))</f>
        <v>增加</v>
      </c>
    </row>
    <row r="80">
      <c r="A80" s="9" t="inlineStr">
        <is>
          <t>GU-12</t>
        </is>
      </c>
      <c r="B80" s="9" t="inlineStr">
        <is>
          <t>60127N060A</t>
        </is>
      </c>
      <c r="C80" s="9" t="inlineStr">
        <is>
          <t>Woven</t>
        </is>
      </c>
      <c r="D80" s="17" t="n">
        <v>1494</v>
      </c>
      <c r="E80" s="17" t="n">
        <v>1552</v>
      </c>
      <c r="F80" s="17">
        <f>E80-D80</f>
        <v>58</v>
      </c>
      <c r="G80" s="18">
        <f>IFERROR(F80/D80,"")</f>
        <v>0.0388219545</v>
      </c>
      <c r="H80" s="9" t="str">
        <f>IF(D80=0,"新增",IF(E80=0,"消失",IF(F80&gt;0,"增加",IF(F80&lt;0,"減少","無變化"))))</f>
        <v>增加</v>
      </c>
    </row>
    <row r="81">
      <c r="A81" s="9" t="inlineStr">
        <is>
          <t>GU-32</t>
        </is>
      </c>
      <c r="B81" s="9" t="inlineStr">
        <is>
          <t>60327H051D</t>
        </is>
      </c>
      <c r="C81" s="9" t="inlineStr">
        <is>
          <t>Woven</t>
        </is>
      </c>
      <c r="D81" s="17" t="n">
        <v>134</v>
      </c>
      <c r="E81" s="17" t="n">
        <v>201</v>
      </c>
      <c r="F81" s="17">
        <f>E81-D81</f>
        <v>67</v>
      </c>
      <c r="G81" s="18">
        <f>IFERROR(F81/D81,"")</f>
        <v>0.5</v>
      </c>
      <c r="H81" s="9" t="str">
        <f>IF(D81=0,"新增",IF(E81=0,"消失",IF(F81&gt;0,"增加",IF(F81&lt;0,"減少","無變化"))))</f>
        <v>增加</v>
      </c>
    </row>
    <row r="82">
      <c r="A82" s="9" t="inlineStr">
        <is>
          <t>GU-13</t>
        </is>
      </c>
      <c r="B82" s="9" t="inlineStr">
        <is>
          <t>60137N019A</t>
        </is>
      </c>
      <c r="C82" s="9" t="inlineStr">
        <is>
          <t>Woven</t>
        </is>
      </c>
      <c r="D82" s="17" t="n">
        <v>1133</v>
      </c>
      <c r="E82" s="17" t="n">
        <v>1215</v>
      </c>
      <c r="F82" s="17">
        <f>E82-D82</f>
        <v>82</v>
      </c>
      <c r="G82" s="18">
        <f>IFERROR(F82/D82,"")</f>
        <v>0.0723742277</v>
      </c>
      <c r="H82" s="9" t="str">
        <f>IF(D82=0,"新增",IF(E82=0,"消失",IF(F82&gt;0,"增加",IF(F82&lt;0,"減少","無變化"))))</f>
        <v>增加</v>
      </c>
    </row>
    <row r="83">
      <c r="A83" s="9" t="inlineStr">
        <is>
          <t>GU-22</t>
        </is>
      </c>
      <c r="B83" s="9" t="inlineStr">
        <is>
          <t>60226F069G</t>
        </is>
      </c>
      <c r="C83" s="9" t="inlineStr">
        <is>
          <t>Woven</t>
        </is>
      </c>
      <c r="D83" s="17" t="n">
        <v>4677</v>
      </c>
      <c r="E83" s="17" t="n">
        <v>4776</v>
      </c>
      <c r="F83" s="17">
        <f>E83-D83</f>
        <v>99</v>
      </c>
      <c r="G83" s="18">
        <f>IFERROR(F83/D83,"")</f>
        <v>0.021167415</v>
      </c>
      <c r="H83" s="9" t="str">
        <f>IF(D83=0,"新增",IF(E83=0,"消失",IF(F83&gt;0,"增加",IF(F83&lt;0,"減少","無變化"))))</f>
        <v>增加</v>
      </c>
    </row>
    <row r="84">
      <c r="A84" s="9" t="inlineStr">
        <is>
          <t>GU-32</t>
        </is>
      </c>
      <c r="B84" s="9" t="inlineStr">
        <is>
          <t>60326F073A</t>
        </is>
      </c>
      <c r="C84" s="9" t="inlineStr">
        <is>
          <t>Woven</t>
        </is>
      </c>
      <c r="D84" s="17" t="n">
        <v>47008</v>
      </c>
      <c r="E84" s="17" t="n">
        <v>47114</v>
      </c>
      <c r="F84" s="17">
        <f>E84-D84</f>
        <v>106</v>
      </c>
      <c r="G84" s="18">
        <f>IFERROR(F84/D84,"")</f>
        <v>0.0022549353</v>
      </c>
      <c r="H84" s="9" t="str">
        <f>IF(D84=0,"新增",IF(E84=0,"消失",IF(F84&gt;0,"增加",IF(F84&lt;0,"減少","無變化"))))</f>
        <v>增加</v>
      </c>
    </row>
    <row r="85">
      <c r="A85" s="9" t="inlineStr">
        <is>
          <t>GU-11</t>
        </is>
      </c>
      <c r="B85" s="9" t="inlineStr">
        <is>
          <t>60117H006A</t>
        </is>
      </c>
      <c r="C85" s="9" t="inlineStr">
        <is>
          <t>Woven</t>
        </is>
      </c>
      <c r="D85" s="17" t="n">
        <v>7650</v>
      </c>
      <c r="E85" s="17" t="n">
        <v>7786</v>
      </c>
      <c r="F85" s="17">
        <f>E85-D85</f>
        <v>136</v>
      </c>
      <c r="G85" s="18">
        <f>IFERROR(F85/D85,"")</f>
        <v>0.0177777778</v>
      </c>
      <c r="H85" s="9" t="str">
        <f>IF(D85=0,"新增",IF(E85=0,"消失",IF(F85&gt;0,"增加",IF(F85&lt;0,"減少","無變化"))))</f>
        <v>增加</v>
      </c>
    </row>
    <row r="86">
      <c r="A86" s="9" t="inlineStr">
        <is>
          <t>GU-22</t>
        </is>
      </c>
      <c r="B86" s="9" t="inlineStr">
        <is>
          <t>60226F051A</t>
        </is>
      </c>
      <c r="C86" s="9" t="inlineStr">
        <is>
          <t>Woven</t>
        </is>
      </c>
      <c r="D86" s="17" t="n">
        <v>17338</v>
      </c>
      <c r="E86" s="17" t="n">
        <v>17524</v>
      </c>
      <c r="F86" s="17">
        <f>E86-D86</f>
        <v>186</v>
      </c>
      <c r="G86" s="18">
        <f>IFERROR(F86/D86,"")</f>
        <v>0.010727881</v>
      </c>
      <c r="H86" s="9" t="str">
        <f>IF(D86=0,"新增",IF(E86=0,"消失",IF(F86&gt;0,"增加",IF(F86&lt;0,"減少","無變化"))))</f>
        <v>增加</v>
      </c>
    </row>
    <row r="87">
      <c r="A87" s="9" t="inlineStr">
        <is>
          <t>GU-23</t>
        </is>
      </c>
      <c r="B87" s="9" t="inlineStr">
        <is>
          <t>60237N031A</t>
        </is>
      </c>
      <c r="C87" s="9" t="inlineStr">
        <is>
          <t>Woven</t>
        </is>
      </c>
      <c r="D87" s="17" t="n">
        <v>1192</v>
      </c>
      <c r="E87" s="17" t="n">
        <v>1451</v>
      </c>
      <c r="F87" s="17">
        <f>E87-D87</f>
        <v>259</v>
      </c>
      <c r="G87" s="18">
        <f>IFERROR(F87/D87,"")</f>
        <v>0.2172818792</v>
      </c>
      <c r="H87" s="9" t="str">
        <f>IF(D87=0,"新增",IF(E87=0,"消失",IF(F87&gt;0,"增加",IF(F87&lt;0,"減少","無變化"))))</f>
        <v>增加</v>
      </c>
    </row>
    <row r="88">
      <c r="A88" s="9" t="inlineStr">
        <is>
          <t>GU-14</t>
        </is>
      </c>
      <c r="B88" s="9" t="inlineStr">
        <is>
          <t>60147N128A</t>
        </is>
      </c>
      <c r="C88" s="9" t="inlineStr">
        <is>
          <t>Woven</t>
        </is>
      </c>
      <c r="D88" s="17" t="n">
        <v>6991</v>
      </c>
      <c r="E88" s="17" t="n">
        <v>7289</v>
      </c>
      <c r="F88" s="17">
        <f>E88-D88</f>
        <v>298</v>
      </c>
      <c r="G88" s="18">
        <f>IFERROR(F88/D88,"")</f>
        <v>0.0426262337</v>
      </c>
      <c r="H88" s="9" t="str">
        <f>IF(D88=0,"新增",IF(E88=0,"消失",IF(F88&gt;0,"增加",IF(F88&lt;0,"減少","無變化"))))</f>
        <v>增加</v>
      </c>
    </row>
    <row r="89">
      <c r="A89" s="9" t="inlineStr">
        <is>
          <t>GU-13</t>
        </is>
      </c>
      <c r="B89" s="9" t="inlineStr">
        <is>
          <t>60137N013A</t>
        </is>
      </c>
      <c r="C89" s="9" t="inlineStr">
        <is>
          <t>Woven</t>
        </is>
      </c>
      <c r="D89" s="17" t="n">
        <v>2876</v>
      </c>
      <c r="E89" s="17" t="n">
        <v>3177</v>
      </c>
      <c r="F89" s="17">
        <f>E89-D89</f>
        <v>301</v>
      </c>
      <c r="G89" s="18">
        <f>IFERROR(F89/D89,"")</f>
        <v>0.104659249</v>
      </c>
      <c r="H89" s="9" t="str">
        <f>IF(D89=0,"新增",IF(E89=0,"消失",IF(F89&gt;0,"增加",IF(F89&lt;0,"減少","無變化"))))</f>
        <v>增加</v>
      </c>
    </row>
    <row r="90">
      <c r="A90" s="9" t="inlineStr">
        <is>
          <t>GU-23</t>
        </is>
      </c>
      <c r="B90" s="9" t="inlineStr">
        <is>
          <t>60237N015C</t>
        </is>
      </c>
      <c r="C90" s="9" t="inlineStr">
        <is>
          <t>Woven</t>
        </is>
      </c>
      <c r="D90" s="17" t="n">
        <v>0</v>
      </c>
      <c r="E90" s="17" t="n">
        <v>322</v>
      </c>
      <c r="F90" s="17">
        <f>E90-D90</f>
        <v>322</v>
      </c>
      <c r="G90" s="18">
        <f>IFERROR(F90/D90,"")</f>
        <v/>
      </c>
      <c r="H90" s="9" t="str">
        <f>IF(D90=0,"新增",IF(E90=0,"消失",IF(F90&gt;0,"增加",IF(F90&lt;0,"減少","無變化"))))</f>
        <v>新增</v>
      </c>
    </row>
    <row r="91">
      <c r="A91" s="9" t="inlineStr">
        <is>
          <t>GU-23</t>
        </is>
      </c>
      <c r="B91" s="9" t="inlineStr">
        <is>
          <t>60237H005A</t>
        </is>
      </c>
      <c r="C91" s="9" t="inlineStr">
        <is>
          <t>Woven</t>
        </is>
      </c>
      <c r="D91" s="17" t="n">
        <v>27977</v>
      </c>
      <c r="E91" s="17" t="n">
        <v>28422</v>
      </c>
      <c r="F91" s="17">
        <f>E91-D91</f>
        <v>445</v>
      </c>
      <c r="G91" s="18">
        <f>IFERROR(F91/D91,"")</f>
        <v>0.0159059227</v>
      </c>
      <c r="H91" s="9" t="str">
        <f>IF(D91=0,"新增",IF(E91=0,"消失",IF(F91&gt;0,"增加",IF(F91&lt;0,"減少","無變化"))))</f>
        <v>增加</v>
      </c>
    </row>
    <row r="92">
      <c r="A92" s="9" t="inlineStr">
        <is>
          <t>GU-32</t>
        </is>
      </c>
      <c r="B92" s="9" t="inlineStr">
        <is>
          <t>60327H045B</t>
        </is>
      </c>
      <c r="C92" s="9" t="inlineStr">
        <is>
          <t>Woven</t>
        </is>
      </c>
      <c r="D92" s="17" t="n">
        <v>1208</v>
      </c>
      <c r="E92" s="17" t="n">
        <v>1656</v>
      </c>
      <c r="F92" s="17">
        <f>E92-D92</f>
        <v>448</v>
      </c>
      <c r="G92" s="18">
        <f>IFERROR(F92/D92,"")</f>
        <v>0.3708609272</v>
      </c>
      <c r="H92" s="9" t="str">
        <f>IF(D92=0,"新增",IF(E92=0,"消失",IF(F92&gt;0,"增加",IF(F92&lt;0,"減少","無變化"))))</f>
        <v>增加</v>
      </c>
    </row>
    <row r="93">
      <c r="A93" s="9" t="inlineStr">
        <is>
          <t>GU-22</t>
        </is>
      </c>
      <c r="B93" s="9" t="inlineStr">
        <is>
          <t>60227H059A</t>
        </is>
      </c>
      <c r="C93" s="9" t="inlineStr">
        <is>
          <t>Woven</t>
        </is>
      </c>
      <c r="D93" s="17" t="n">
        <v>63228</v>
      </c>
      <c r="E93" s="17" t="n">
        <v>63828</v>
      </c>
      <c r="F93" s="17">
        <f>E93-D93</f>
        <v>600</v>
      </c>
      <c r="G93" s="18">
        <f>IFERROR(F93/D93,"")</f>
        <v>0.0094894667</v>
      </c>
      <c r="H93" s="9" t="str">
        <f>IF(D93=0,"新增",IF(E93=0,"消失",IF(F93&gt;0,"增加",IF(F93&lt;0,"減少","無變化"))))</f>
        <v>增加</v>
      </c>
    </row>
    <row r="94">
      <c r="A94" s="9" t="inlineStr">
        <is>
          <t>GU-27</t>
        </is>
      </c>
      <c r="B94" s="9" t="inlineStr">
        <is>
          <t>60277N090A</t>
        </is>
      </c>
      <c r="C94" s="9" t="inlineStr">
        <is>
          <t>Knit</t>
        </is>
      </c>
      <c r="D94" s="17" t="n">
        <v>30193</v>
      </c>
      <c r="E94" s="17" t="n">
        <v>30827</v>
      </c>
      <c r="F94" s="17">
        <f>E94-D94</f>
        <v>634</v>
      </c>
      <c r="G94" s="18">
        <f>IFERROR(F94/D94,"")</f>
        <v>0.0209982446</v>
      </c>
      <c r="H94" s="9" t="str">
        <f>IF(D94=0,"新增",IF(E94=0,"消失",IF(F94&gt;0,"增加",IF(F94&lt;0,"減少","無變化"))))</f>
        <v>增加</v>
      </c>
    </row>
    <row r="95">
      <c r="A95" s="9" t="inlineStr">
        <is>
          <t>GU-22</t>
        </is>
      </c>
      <c r="B95" s="9" t="inlineStr">
        <is>
          <t>60226F064B</t>
        </is>
      </c>
      <c r="C95" s="9" t="inlineStr">
        <is>
          <t>Woven</t>
        </is>
      </c>
      <c r="D95" s="17" t="n">
        <v>2974</v>
      </c>
      <c r="E95" s="17" t="n">
        <v>3616</v>
      </c>
      <c r="F95" s="17">
        <f>E95-D95</f>
        <v>642</v>
      </c>
      <c r="G95" s="18">
        <f>IFERROR(F95/D95,"")</f>
        <v>0.215870881</v>
      </c>
      <c r="H95" s="9" t="str">
        <f>IF(D95=0,"新增",IF(E95=0,"消失",IF(F95&gt;0,"增加",IF(F95&lt;0,"減少","無變化"))))</f>
        <v>增加</v>
      </c>
    </row>
    <row r="96">
      <c r="A96" s="9" t="inlineStr">
        <is>
          <t>GU-22</t>
        </is>
      </c>
      <c r="B96" s="9" t="inlineStr">
        <is>
          <t>60227H012A</t>
        </is>
      </c>
      <c r="C96" s="9" t="inlineStr">
        <is>
          <t>Woven</t>
        </is>
      </c>
      <c r="D96" s="17" t="n">
        <v>0</v>
      </c>
      <c r="E96" s="17" t="n">
        <v>810</v>
      </c>
      <c r="F96" s="17">
        <f>E96-D96</f>
        <v>810</v>
      </c>
      <c r="G96" s="18">
        <f>IFERROR(F96/D96,"")</f>
        <v/>
      </c>
      <c r="H96" s="9" t="str">
        <f>IF(D96=0,"新增",IF(E96=0,"消失",IF(F96&gt;0,"增加",IF(F96&lt;0,"減少","無變化"))))</f>
        <v>新增</v>
      </c>
    </row>
    <row r="97">
      <c r="A97" s="9" t="inlineStr">
        <is>
          <t>GU-17</t>
        </is>
      </c>
      <c r="B97" s="9" t="inlineStr">
        <is>
          <t>60176F038A</t>
        </is>
      </c>
      <c r="C97" s="9" t="inlineStr">
        <is>
          <t>Knit</t>
        </is>
      </c>
      <c r="D97" s="17" t="n">
        <v>5618</v>
      </c>
      <c r="E97" s="17" t="n">
        <v>6542</v>
      </c>
      <c r="F97" s="17">
        <f>E97-D97</f>
        <v>924</v>
      </c>
      <c r="G97" s="18">
        <f>IFERROR(F97/D97,"")</f>
        <v>0.1644713421</v>
      </c>
      <c r="H97" s="9" t="str">
        <f>IF(D97=0,"新增",IF(E97=0,"消失",IF(F97&gt;0,"增加",IF(F97&lt;0,"減少","無變化"))))</f>
        <v>增加</v>
      </c>
    </row>
    <row r="98">
      <c r="A98" s="9" t="inlineStr">
        <is>
          <t>GU-22</t>
        </is>
      </c>
      <c r="B98" s="9" t="inlineStr">
        <is>
          <t>60226N035B</t>
        </is>
      </c>
      <c r="C98" s="9" t="inlineStr">
        <is>
          <t>Woven</t>
        </is>
      </c>
      <c r="D98" s="17" t="n">
        <v>0</v>
      </c>
      <c r="E98" s="17" t="n">
        <v>952</v>
      </c>
      <c r="F98" s="17">
        <f>E98-D98</f>
        <v>952</v>
      </c>
      <c r="G98" s="18">
        <f>IFERROR(F98/D98,"")</f>
        <v/>
      </c>
      <c r="H98" s="9" t="str">
        <f>IF(D98=0,"新增",IF(E98=0,"消失",IF(F98&gt;0,"增加",IF(F98&lt;0,"減少","無變化"))))</f>
        <v>新增</v>
      </c>
    </row>
    <row r="99">
      <c r="A99" s="9" t="inlineStr">
        <is>
          <t>GU-32</t>
        </is>
      </c>
      <c r="B99" s="9" t="inlineStr">
        <is>
          <t>60327H045C</t>
        </is>
      </c>
      <c r="C99" s="9" t="inlineStr">
        <is>
          <t>Woven</t>
        </is>
      </c>
      <c r="D99" s="17" t="n">
        <v>1657</v>
      </c>
      <c r="E99" s="17" t="n">
        <v>2692</v>
      </c>
      <c r="F99" s="17">
        <f>E99-D99</f>
        <v>1035</v>
      </c>
      <c r="G99" s="18">
        <f>IFERROR(F99/D99,"")</f>
        <v>0.6246228123</v>
      </c>
      <c r="H99" s="9" t="str">
        <f>IF(D99=0,"新增",IF(E99=0,"消失",IF(F99&gt;0,"增加",IF(F99&lt;0,"減少","無變化"))))</f>
        <v>增加</v>
      </c>
    </row>
    <row r="100">
      <c r="A100" s="9" t="inlineStr">
        <is>
          <t>GU-23</t>
        </is>
      </c>
      <c r="B100" s="9" t="inlineStr">
        <is>
          <t>60237N006B</t>
        </is>
      </c>
      <c r="C100" s="9" t="inlineStr">
        <is>
          <t>Woven</t>
        </is>
      </c>
      <c r="D100" s="17" t="n">
        <v>0</v>
      </c>
      <c r="E100" s="17" t="n">
        <v>1199</v>
      </c>
      <c r="F100" s="17">
        <f>E100-D100</f>
        <v>1199</v>
      </c>
      <c r="G100" s="18">
        <f>IFERROR(F100/D100,"")</f>
        <v/>
      </c>
      <c r="H100" s="9" t="str">
        <f>IF(D100=0,"新增",IF(E100=0,"消失",IF(F100&gt;0,"增加",IF(F100&lt;0,"減少","無變化"))))</f>
        <v>新增</v>
      </c>
    </row>
    <row r="101">
      <c r="A101" s="9" t="inlineStr">
        <is>
          <t>GU-12</t>
        </is>
      </c>
      <c r="B101" s="9" t="inlineStr">
        <is>
          <t>60127N051B</t>
        </is>
      </c>
      <c r="C101" s="9" t="inlineStr">
        <is>
          <t>Woven</t>
        </is>
      </c>
      <c r="D101" s="17" t="n">
        <v>35880</v>
      </c>
      <c r="E101" s="17" t="n">
        <v>37200</v>
      </c>
      <c r="F101" s="17">
        <f>E101-D101</f>
        <v>1320</v>
      </c>
      <c r="G101" s="18">
        <f>IFERROR(F101/D101,"")</f>
        <v>0.0367892977</v>
      </c>
      <c r="H101" s="9" t="str">
        <f>IF(D101=0,"新增",IF(E101=0,"消失",IF(F101&gt;0,"增加",IF(F101&lt;0,"減少","無變化"))))</f>
        <v>增加</v>
      </c>
    </row>
    <row r="102">
      <c r="A102" s="9" t="inlineStr">
        <is>
          <t>GU-22</t>
        </is>
      </c>
      <c r="B102" s="9" t="inlineStr">
        <is>
          <t>60226F064A</t>
        </is>
      </c>
      <c r="C102" s="9" t="inlineStr">
        <is>
          <t>Woven</t>
        </is>
      </c>
      <c r="D102" s="17" t="n">
        <v>8250</v>
      </c>
      <c r="E102" s="17" t="n">
        <v>9926</v>
      </c>
      <c r="F102" s="17">
        <f>E102-D102</f>
        <v>1676</v>
      </c>
      <c r="G102" s="18">
        <f>IFERROR(F102/D102,"")</f>
        <v>0.2031515152</v>
      </c>
      <c r="H102" s="9" t="str">
        <f>IF(D102=0,"新增",IF(E102=0,"消失",IF(F102&gt;0,"增加",IF(F102&lt;0,"減少","無變化"))))</f>
        <v>增加</v>
      </c>
    </row>
    <row r="103">
      <c r="A103" s="9" t="inlineStr">
        <is>
          <t>GU-32</t>
        </is>
      </c>
      <c r="B103" s="9" t="inlineStr">
        <is>
          <t>60327H045A</t>
        </is>
      </c>
      <c r="C103" s="9" t="inlineStr">
        <is>
          <t>Woven</t>
        </is>
      </c>
      <c r="D103" s="17" t="n">
        <v>48783</v>
      </c>
      <c r="E103" s="17" t="n">
        <v>51024</v>
      </c>
      <c r="F103" s="17">
        <f>E103-D103</f>
        <v>2241</v>
      </c>
      <c r="G103" s="18">
        <f>IFERROR(F103/D103,"")</f>
        <v>0.0459381342</v>
      </c>
      <c r="H103" s="9" t="str">
        <f>IF(D103=0,"新增",IF(E103=0,"消失",IF(F103&gt;0,"增加",IF(F103&lt;0,"減少","無變化"))))</f>
        <v>增加</v>
      </c>
    </row>
    <row r="104">
      <c r="A104" s="9" t="inlineStr">
        <is>
          <t>GU-22</t>
        </is>
      </c>
      <c r="B104" s="9" t="inlineStr">
        <is>
          <t>60227H062A</t>
        </is>
      </c>
      <c r="C104" s="9" t="inlineStr">
        <is>
          <t>Woven</t>
        </is>
      </c>
      <c r="D104" s="17" t="n">
        <v>63038</v>
      </c>
      <c r="E104" s="17" t="n">
        <v>65279</v>
      </c>
      <c r="F104" s="17">
        <f>E104-D104</f>
        <v>2241</v>
      </c>
      <c r="G104" s="18">
        <f>IFERROR(F104/D104,"")</f>
        <v>0.0355499857</v>
      </c>
      <c r="H104" s="9" t="str">
        <f>IF(D104=0,"新增",IF(E104=0,"消失",IF(F104&gt;0,"增加",IF(F104&lt;0,"減少","無變化"))))</f>
        <v>增加</v>
      </c>
    </row>
    <row r="105">
      <c r="A105" s="9" t="inlineStr">
        <is>
          <t>GU-32</t>
        </is>
      </c>
      <c r="B105" s="9" t="inlineStr">
        <is>
          <t>60327H055G</t>
        </is>
      </c>
      <c r="C105" s="9" t="inlineStr">
        <is>
          <t>Woven</t>
        </is>
      </c>
      <c r="D105" s="17" t="n">
        <v>6378</v>
      </c>
      <c r="E105" s="17" t="n">
        <v>8820</v>
      </c>
      <c r="F105" s="17">
        <f>E105-D105</f>
        <v>2442</v>
      </c>
      <c r="G105" s="18">
        <f>IFERROR(F105/D105,"")</f>
        <v>0.3828786453</v>
      </c>
      <c r="H105" s="9" t="str">
        <f>IF(D105=0,"新增",IF(E105=0,"消失",IF(F105&gt;0,"增加",IF(F105&lt;0,"減少","無變化"))))</f>
        <v>增加</v>
      </c>
    </row>
    <row r="106">
      <c r="A106" s="9" t="inlineStr">
        <is>
          <t>GU-22</t>
        </is>
      </c>
      <c r="B106" s="9" t="inlineStr">
        <is>
          <t>60227N014A</t>
        </is>
      </c>
      <c r="C106" s="9" t="inlineStr">
        <is>
          <t>Woven</t>
        </is>
      </c>
      <c r="D106" s="17" t="n">
        <v>0</v>
      </c>
      <c r="E106" s="17" t="n">
        <v>2480</v>
      </c>
      <c r="F106" s="17">
        <f>E106-D106</f>
        <v>2480</v>
      </c>
      <c r="G106" s="18">
        <f>IFERROR(F106/D106,"")</f>
        <v/>
      </c>
      <c r="H106" s="9" t="str">
        <f>IF(D106=0,"新增",IF(E106=0,"消失",IF(F106&gt;0,"增加",IF(F106&lt;0,"減少","無變化"))))</f>
        <v>新增</v>
      </c>
    </row>
    <row r="107">
      <c r="A107" s="9" t="inlineStr">
        <is>
          <t>GU-12</t>
        </is>
      </c>
      <c r="B107" s="9" t="inlineStr">
        <is>
          <t>60127H052B</t>
        </is>
      </c>
      <c r="C107" s="9" t="inlineStr">
        <is>
          <t>Woven</t>
        </is>
      </c>
      <c r="D107" s="17" t="n">
        <v>7192</v>
      </c>
      <c r="E107" s="17" t="n">
        <v>10005</v>
      </c>
      <c r="F107" s="17">
        <f>E107-D107</f>
        <v>2813</v>
      </c>
      <c r="G107" s="18">
        <f>IFERROR(F107/D107,"")</f>
        <v>0.3911290323</v>
      </c>
      <c r="H107" s="9" t="str">
        <f>IF(D107=0,"新增",IF(E107=0,"消失",IF(F107&gt;0,"增加",IF(F107&lt;0,"減少","無變化"))))</f>
        <v>增加</v>
      </c>
    </row>
    <row r="108">
      <c r="A108" s="9" t="inlineStr">
        <is>
          <t>GU-22</t>
        </is>
      </c>
      <c r="B108" s="9" t="inlineStr">
        <is>
          <t>60227H026B</t>
        </is>
      </c>
      <c r="C108" s="9" t="inlineStr">
        <is>
          <t>Woven</t>
        </is>
      </c>
      <c r="D108" s="17" t="n">
        <v>4388</v>
      </c>
      <c r="E108" s="17" t="n">
        <v>7963</v>
      </c>
      <c r="F108" s="17">
        <f>E108-D108</f>
        <v>3575</v>
      </c>
      <c r="G108" s="18">
        <f>IFERROR(F108/D108,"")</f>
        <v>0.814721969</v>
      </c>
      <c r="H108" s="9" t="str">
        <f>IF(D108=0,"新增",IF(E108=0,"消失",IF(F108&gt;0,"增加",IF(F108&lt;0,"減少","無變化"))))</f>
        <v>增加</v>
      </c>
    </row>
    <row r="109">
      <c r="A109" s="9" t="inlineStr">
        <is>
          <t>GU-22</t>
        </is>
      </c>
      <c r="B109" s="9" t="inlineStr">
        <is>
          <t>60227N007O</t>
        </is>
      </c>
      <c r="C109" s="9" t="inlineStr">
        <is>
          <t>Woven</t>
        </is>
      </c>
      <c r="D109" s="17" t="n">
        <v>0</v>
      </c>
      <c r="E109" s="17" t="n">
        <v>4439</v>
      </c>
      <c r="F109" s="17">
        <f>E109-D109</f>
        <v>4439</v>
      </c>
      <c r="G109" s="18">
        <f>IFERROR(F109/D109,"")</f>
        <v/>
      </c>
      <c r="H109" s="9" t="str">
        <f>IF(D109=0,"新增",IF(E109=0,"消失",IF(F109&gt;0,"增加",IF(F109&lt;0,"減少","無變化"))))</f>
        <v>新增</v>
      </c>
    </row>
    <row r="110">
      <c r="A110" s="9" t="inlineStr">
        <is>
          <t>GU-32</t>
        </is>
      </c>
      <c r="B110" s="9" t="inlineStr">
        <is>
          <t>60327H051E</t>
        </is>
      </c>
      <c r="C110" s="9" t="inlineStr">
        <is>
          <t>Woven</t>
        </is>
      </c>
      <c r="D110" s="17" t="n">
        <v>3125</v>
      </c>
      <c r="E110" s="17" t="n">
        <v>7587</v>
      </c>
      <c r="F110" s="17">
        <f>E110-D110</f>
        <v>4462</v>
      </c>
      <c r="G110" s="18">
        <f>IFERROR(F110/D110,"")</f>
        <v>1.42784</v>
      </c>
      <c r="H110" s="9" t="str">
        <f>IF(D110=0,"新增",IF(E110=0,"消失",IF(F110&gt;0,"增加",IF(F110&lt;0,"減少","無變化"))))</f>
        <v>增加</v>
      </c>
    </row>
    <row r="111">
      <c r="A111" s="9" t="inlineStr">
        <is>
          <t>GU-23</t>
        </is>
      </c>
      <c r="B111" s="9" t="inlineStr">
        <is>
          <t>60237N053A</t>
        </is>
      </c>
      <c r="C111" s="9" t="inlineStr">
        <is>
          <t>Woven</t>
        </is>
      </c>
      <c r="D111" s="17" t="n">
        <v>20520</v>
      </c>
      <c r="E111" s="17" t="n">
        <v>25020</v>
      </c>
      <c r="F111" s="17">
        <f>E111-D111</f>
        <v>4500</v>
      </c>
      <c r="G111" s="18">
        <f>IFERROR(F111/D111,"")</f>
        <v>0.2192982456</v>
      </c>
      <c r="H111" s="9" t="str">
        <f>IF(D111=0,"新增",IF(E111=0,"消失",IF(F111&gt;0,"增加",IF(F111&lt;0,"減少","無變化"))))</f>
        <v>增加</v>
      </c>
    </row>
    <row r="112">
      <c r="A112" s="9" t="inlineStr">
        <is>
          <t>GU-13</t>
        </is>
      </c>
      <c r="B112" s="9" t="inlineStr">
        <is>
          <t>60137N003A</t>
        </is>
      </c>
      <c r="C112" s="9" t="inlineStr">
        <is>
          <t>Woven</t>
        </is>
      </c>
      <c r="D112" s="17" t="n">
        <v>0</v>
      </c>
      <c r="E112" s="17" t="n">
        <v>5333</v>
      </c>
      <c r="F112" s="17">
        <f>E112-D112</f>
        <v>5333</v>
      </c>
      <c r="G112" s="18">
        <f>IFERROR(F112/D112,"")</f>
        <v/>
      </c>
      <c r="H112" s="9" t="str">
        <f>IF(D112=0,"新增",IF(E112=0,"消失",IF(F112&gt;0,"增加",IF(F112&lt;0,"減少","無變化"))))</f>
        <v>新增</v>
      </c>
    </row>
    <row r="113">
      <c r="A113" s="9" t="inlineStr">
        <is>
          <t>GU-23</t>
        </is>
      </c>
      <c r="B113" s="9" t="inlineStr">
        <is>
          <t>60237N007A</t>
        </is>
      </c>
      <c r="C113" s="9" t="inlineStr">
        <is>
          <t>Woven</t>
        </is>
      </c>
      <c r="D113" s="17" t="n">
        <v>14802</v>
      </c>
      <c r="E113" s="17" t="n">
        <v>20451</v>
      </c>
      <c r="F113" s="17">
        <f>E113-D113</f>
        <v>5649</v>
      </c>
      <c r="G113" s="18">
        <f>IFERROR(F113/D113,"")</f>
        <v>0.3816376165</v>
      </c>
      <c r="H113" s="9" t="str">
        <f>IF(D113=0,"新增",IF(E113=0,"消失",IF(F113&gt;0,"增加",IF(F113&lt;0,"減少","無變化"))))</f>
        <v>增加</v>
      </c>
    </row>
    <row r="114">
      <c r="A114" s="9" t="inlineStr">
        <is>
          <t>GU-22</t>
        </is>
      </c>
      <c r="B114" s="9" t="inlineStr">
        <is>
          <t>60227N005A</t>
        </is>
      </c>
      <c r="C114" s="9" t="inlineStr">
        <is>
          <t>Woven</t>
        </is>
      </c>
      <c r="D114" s="17" t="n">
        <v>15908</v>
      </c>
      <c r="E114" s="17" t="n">
        <v>25173</v>
      </c>
      <c r="F114" s="17">
        <f>E114-D114</f>
        <v>9265</v>
      </c>
      <c r="G114" s="18">
        <f>IFERROR(F114/D114,"")</f>
        <v>0.5824113654</v>
      </c>
      <c r="H114" s="9" t="str">
        <f>IF(D114=0,"新增",IF(E114=0,"消失",IF(F114&gt;0,"增加",IF(F114&lt;0,"減少","無變化"))))</f>
        <v>增加</v>
      </c>
    </row>
    <row r="115">
      <c r="A115" s="9" t="inlineStr">
        <is>
          <t>GU-32</t>
        </is>
      </c>
      <c r="B115" s="9" t="inlineStr">
        <is>
          <t>60327H098C</t>
        </is>
      </c>
      <c r="C115" s="9" t="inlineStr">
        <is>
          <t>Woven</t>
        </is>
      </c>
      <c r="D115" s="17" t="n">
        <v>0</v>
      </c>
      <c r="E115" s="17" t="n">
        <v>11552</v>
      </c>
      <c r="F115" s="17">
        <f>E115-D115</f>
        <v>11552</v>
      </c>
      <c r="G115" s="18">
        <f>IFERROR(F115/D115,"")</f>
        <v/>
      </c>
      <c r="H115" s="9" t="str">
        <f>IF(D115=0,"新增",IF(E115=0,"消失",IF(F115&gt;0,"增加",IF(F115&lt;0,"減少","無變化"))))</f>
        <v>新增</v>
      </c>
    </row>
    <row r="116">
      <c r="A116" s="9" t="inlineStr">
        <is>
          <t>GU-22</t>
        </is>
      </c>
      <c r="B116" s="9" t="inlineStr">
        <is>
          <t>60227N007C</t>
        </is>
      </c>
      <c r="C116" s="9" t="inlineStr">
        <is>
          <t>Woven</t>
        </is>
      </c>
      <c r="D116" s="17" t="n">
        <v>41746</v>
      </c>
      <c r="E116" s="17" t="n">
        <v>57299</v>
      </c>
      <c r="F116" s="17">
        <f>E116-D116</f>
        <v>15553</v>
      </c>
      <c r="G116" s="18">
        <f>IFERROR(F116/D116,"")</f>
        <v>0.3725626407</v>
      </c>
      <c r="H116" s="9" t="str">
        <f>IF(D116=0,"新增",IF(E116=0,"消失",IF(F116&gt;0,"增加",IF(F116&lt;0,"減少","無變化"))))</f>
        <v>增加</v>
      </c>
    </row>
    <row r="117">
      <c r="A117" s="9" t="inlineStr">
        <is>
          <t>GU-32</t>
        </is>
      </c>
      <c r="B117" s="9" t="inlineStr">
        <is>
          <t>buffer</t>
        </is>
      </c>
      <c r="C117" s="9" t="inlineStr">
        <is>
          <t>Woven</t>
        </is>
      </c>
      <c r="D117" s="17" t="n">
        <v>9999</v>
      </c>
      <c r="E117" s="17" t="n">
        <v>30998</v>
      </c>
      <c r="F117" s="17">
        <f>E117-D117</f>
        <v>20999</v>
      </c>
      <c r="G117" s="18">
        <f>IFERROR(F117/D117,"")</f>
        <v>2.100110011</v>
      </c>
      <c r="H117" s="9" t="str">
        <f>IF(D117=0,"新增",IF(E117=0,"消失",IF(F117&gt;0,"增加",IF(F117&lt;0,"減少","無變化"))))</f>
        <v>增加</v>
      </c>
    </row>
    <row r="118">
      <c r="A118" s="9" t="inlineStr">
        <is>
          <t>GU-23</t>
        </is>
      </c>
      <c r="B118" s="9" t="inlineStr">
        <is>
          <t>60237N057A</t>
        </is>
      </c>
      <c r="C118" s="9" t="inlineStr">
        <is>
          <t>Woven</t>
        </is>
      </c>
      <c r="D118" s="17" t="n">
        <v>10036</v>
      </c>
      <c r="E118" s="17" t="n">
        <v>31651</v>
      </c>
      <c r="F118" s="17">
        <f>E118-D118</f>
        <v>21615</v>
      </c>
      <c r="G118" s="18">
        <f>IFERROR(F118/D118,"")</f>
        <v>2.1537465126</v>
      </c>
      <c r="H118" s="9" t="str">
        <f>IF(D118=0,"新增",IF(E118=0,"消失",IF(F118&gt;0,"增加",IF(F118&lt;0,"減少","無變化"))))</f>
        <v>增加</v>
      </c>
    </row>
    <row r="119">
      <c r="A119" s="12" t="inlineStr">
        <is>
          <t>合計</t>
        </is>
      </c>
      <c r="B119" s="19" t="n"/>
      <c r="C119" s="19" t="n"/>
      <c r="D119" s="20">
        <f>SUM(D2:D118)</f>
        <v>1895374</v>
      </c>
      <c r="E119" s="20">
        <f>SUM(E2:E118)</f>
        <v>1825821</v>
      </c>
      <c r="F119" s="20">
        <f>E119-D119</f>
        <v>-69553</v>
      </c>
      <c r="G119" s="21">
        <f>IFERROR(F119/D119,"")</f>
        <v>-0.0366961877</v>
      </c>
      <c r="H119" s="19" t="n"/>
    </row>
  </sheetData>
  <autoFilter ref="A1:H118"/>
  <conditionalFormatting sqref="F2:F11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22" t="inlineStr">
        <is>
          <t>07/30 新增分頁 SMG_SOLO — 未納入主比較的原因</t>
        </is>
      </c>
    </row>
    <row r="2">
      <c r="A2" s="16" t="inlineStr">
        <is>
          <t>SMG_SOLO 的量體與 07/30「SMG」分頁中 GLS1+GLS5 兩家 Maker 的小計幾乎完全一致，判定為同一批量的重新拆分而非新增量體。</t>
        </is>
      </c>
    </row>
    <row r="3"/>
    <row r="4" ht="30" customHeight="1">
      <c r="A4" s="6" t="inlineStr">
        <is>
          <t>比較對象</t>
        </is>
      </c>
      <c r="B4" s="6" t="inlineStr">
        <is>
          <t>標打合計</t>
        </is>
      </c>
      <c r="C4" s="6" t="inlineStr">
        <is>
          <t>筆數</t>
        </is>
      </c>
    </row>
    <row r="5">
      <c r="A5" s="9" t="inlineStr">
        <is>
          <t>07/30 SMG 分頁 (Maker = GLS1 + GLS5)</t>
        </is>
      </c>
      <c r="B5" s="17" t="n">
        <v>574716</v>
      </c>
      <c r="C5" s="17" t="n">
        <v>287</v>
      </c>
    </row>
    <row r="6">
      <c r="A6" s="9" t="inlineStr">
        <is>
          <t>07/30 SMG_SOLO 分頁 (全部)</t>
        </is>
      </c>
      <c r="B6" s="17" t="n">
        <v>574715</v>
      </c>
      <c r="C6" s="17" t="n">
        <v>327</v>
      </c>
    </row>
    <row r="7">
      <c r="A7" s="12" t="inlineStr">
        <is>
          <t>差距</t>
        </is>
      </c>
      <c r="B7" s="20">
        <f>B5-B6</f>
        <v>1</v>
      </c>
      <c r="C7" s="20">
        <f>C5-C6</f>
        <v>-40</v>
      </c>
    </row>
    <row r="8"/>
    <row r="9">
      <c r="A9" s="23" t="inlineStr">
        <is>
          <t>SMG_SOLO 部門(div.)分布：</t>
        </is>
      </c>
    </row>
    <row r="10" ht="30" customHeight="1">
      <c r="A10" s="6" t="inlineStr">
        <is>
          <t>部門 div.</t>
        </is>
      </c>
      <c r="B10" s="6" t="inlineStr">
        <is>
          <t>SMG_SOLO 標打</t>
        </is>
      </c>
      <c r="C10" s="6" t="inlineStr">
        <is>
          <t>筆數</t>
        </is>
      </c>
    </row>
    <row r="11">
      <c r="A11" s="9" t="inlineStr">
        <is>
          <t>GU-22</t>
        </is>
      </c>
      <c r="B11" s="17" t="n">
        <v>46293</v>
      </c>
      <c r="C11" s="17" t="n">
        <v>30</v>
      </c>
    </row>
    <row r="12">
      <c r="A12" s="9" t="inlineStr">
        <is>
          <t>GU-32</t>
        </is>
      </c>
      <c r="B12" s="17" t="n">
        <v>528422</v>
      </c>
      <c r="C12" s="17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2026-07-30T06:11:10Z</dcterms:created>
  <dcterms:modified xsi:type="dcterms:W3CDTF">2026-07-30T06:11:10Z</dcterms:modified>
</cp:coreProperties>
</file>