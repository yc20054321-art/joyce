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D 年度標打" sheetId="1" state="visible" r:id="rId1"/>
    <sheet name="GLD 季度明細" sheetId="2" state="visible" r:id="rId2"/>
    <sheet name="來源差異對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3864"/>
      <sz val="9"/>
    </font>
    <font>
      <name val="Arial"/>
      <color rgb="00595959"/>
      <sz val="9"/>
    </font>
    <font>
      <name val="Arial"/>
      <b val="1"/>
      <color rgb="001F3864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164" fontId="5" fillId="3" borderId="1" pivotButton="0" quotePrefix="0" xfId="0"/>
    <xf numFmtId="165" fontId="5" fillId="3" borderId="1" pivotButton="0" quotePrefix="0" xfId="0"/>
    <xf numFmtId="0" fontId="9" fillId="4" borderId="0" pivotButton="0" quotePrefix="0" xfId="0"/>
    <xf numFmtId="164" fontId="9" fillId="4" borderId="1" pivotButton="0" quotePrefix="0" xfId="0"/>
    <xf numFmtId="165" fontId="9" fillId="4" borderId="1" pivotButton="0" quotePrefix="0" xfId="0"/>
    <xf numFmtId="165" fontId="0" fillId="4" borderId="1" pivotButton="0" quotePrefix="0" xfId="0"/>
    <xf numFmtId="0" fontId="9" fillId="0" borderId="0" pivotButton="0" quotePrefix="0" xfId="0"/>
    <xf numFmtId="165" fontId="9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9" fillId="0" borderId="1" pivotButton="0" quotePrefix="0" xfId="0"/>
    <xf numFmtId="164" fontId="0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" customWidth="1" min="4" max="4"/>
    <col width="2" customWidth="1" min="5" max="5"/>
    <col width="11" customWidth="1" min="6" max="6"/>
    <col width="11" customWidth="1" min="7" max="7"/>
  </cols>
  <sheetData>
    <row r="1">
      <c r="A1" s="1" t="inlineStr">
        <is>
          <t>GLD 每年生產標打實績 2023–2025（客人：GU）</t>
        </is>
      </c>
    </row>
    <row r="2">
      <c r="A2" s="2" t="inlineStr">
        <is>
          <t>來源：Capacity Overview 2023-2026_20250918 to GU.xlsx — 工作表「2023-2026標打實績MK內部用」；GLD = 印尼 GLD1 廠，全檔為對 GU 之產能/實績檔</t>
        </is>
      </c>
    </row>
    <row r="3"/>
    <row r="4">
      <c r="A4" s="3" t="inlineStr">
        <is>
          <t>一、GLD 年度標打（平織 + 針織）</t>
        </is>
      </c>
    </row>
    <row r="5" ht="32" customHeight="1">
      <c r="A5" s="4" t="inlineStr">
        <is>
          <t>年度</t>
        </is>
      </c>
      <c r="B5" s="4" t="inlineStr">
        <is>
          <t>GLD_W 平織
標打</t>
        </is>
      </c>
      <c r="C5" s="4" t="inlineStr">
        <is>
          <t>GLD_K 針織
標打</t>
        </is>
      </c>
      <c r="D5" s="4" t="inlineStr">
        <is>
          <t>GLD 合計
標打</t>
        </is>
      </c>
      <c r="E5" s="4" t="inlineStr">
        <is>
          <t>年 MAX 產能
標打</t>
        </is>
      </c>
      <c r="F5" s="4" t="inlineStr">
        <is>
          <t>達成率
(標打/MAX)</t>
        </is>
      </c>
      <c r="G5" s="4" t="inlineStr">
        <is>
          <t>YoY
成長率</t>
        </is>
      </c>
    </row>
    <row r="6">
      <c r="A6" s="5" t="inlineStr">
        <is>
          <t>2023</t>
        </is>
      </c>
      <c r="B6" s="6">
        <f>'GLD 季度明細'!B2+'GLD 季度明細'!B3+'GLD 季度明細'!B4+'GLD 季度明細'!B5</f>
        <v>226412</v>
      </c>
      <c r="C6" s="6">
        <f>'GLD 季度明細'!C2+'GLD 季度明細'!C3+'GLD 季度明細'!C4+'GLD 季度明細'!C5</f>
        <v>345997</v>
      </c>
      <c r="D6" s="6">
        <f>B6+C6</f>
        <v>572409</v>
      </c>
      <c r="E6" s="6" t="n">
        <v>720000</v>
      </c>
      <c r="F6" s="7">
        <f>IFERROR(D6/E6,"")</f>
        <v>0.7950125</v>
      </c>
      <c r="G6" s="7" t="inlineStr"/>
    </row>
    <row r="7">
      <c r="A7" s="5" t="inlineStr">
        <is>
          <t>2024</t>
        </is>
      </c>
      <c r="B7" s="6">
        <f>'GLD 季度明細'!B6+'GLD 季度明細'!B7+'GLD 季度明細'!B8+'GLD 季度明細'!B9</f>
        <v>144608</v>
      </c>
      <c r="C7" s="6">
        <f>'GLD 季度明細'!C6+'GLD 季度明細'!C7+'GLD 季度明細'!C8+'GLD 季度明細'!C9</f>
        <v>249623</v>
      </c>
      <c r="D7" s="6">
        <f>B7+C7</f>
        <v>394231</v>
      </c>
      <c r="E7" s="6" t="n">
        <v>840000</v>
      </c>
      <c r="F7" s="7">
        <f>IFERROR(D7/E7,"")</f>
        <v>0.469322619</v>
      </c>
      <c r="G7" s="7">
        <f>IFERROR((D7-D6)/D6,"")</f>
        <v>-0.3112774258</v>
      </c>
    </row>
    <row r="8">
      <c r="A8" s="5" t="inlineStr">
        <is>
          <t>2025</t>
        </is>
      </c>
      <c r="B8" s="6">
        <f>'GLD 季度明細'!B10+'GLD 季度明細'!B11+'GLD 季度明細'!B12+'GLD 季度明細'!B13</f>
        <v>238875</v>
      </c>
      <c r="C8" s="6">
        <f>'GLD 季度明細'!C10+'GLD 季度明細'!C11+'GLD 季度明細'!C12+'GLD 季度明細'!C13</f>
        <v>326822</v>
      </c>
      <c r="D8" s="6">
        <f>B8+C8</f>
        <v>565697</v>
      </c>
      <c r="E8" s="6" t="n">
        <v>792000</v>
      </c>
      <c r="F8" s="7">
        <f>IFERROR(D8/E8,"")</f>
        <v>0.7142638889</v>
      </c>
      <c r="G8" s="7">
        <f>IFERROR((D8-D7)/D7,"")</f>
        <v>0.4349378917</v>
      </c>
    </row>
    <row r="9">
      <c r="A9" s="8" t="inlineStr">
        <is>
          <t>3年合計</t>
        </is>
      </c>
      <c r="B9" s="9">
        <f>SUM(B6:B8)</f>
        <v>609895</v>
      </c>
      <c r="C9" s="9">
        <f>SUM(C6:C8)</f>
        <v>922442</v>
      </c>
      <c r="D9" s="9">
        <f>SUM(D6:D8)</f>
        <v>1532337</v>
      </c>
      <c r="E9" s="9">
        <f>SUM(E6:E8)</f>
        <v>2352000</v>
      </c>
      <c r="F9" s="10">
        <f>IFERROR(D9/E9,"")</f>
        <v>0.6515038265</v>
      </c>
      <c r="G9" s="11" t="n"/>
    </row>
    <row r="10"/>
    <row r="11">
      <c r="A11" s="3" t="inlineStr">
        <is>
          <t>二、平織 / 針織 占比</t>
        </is>
      </c>
    </row>
    <row r="12" ht="32" customHeight="1">
      <c r="A12" s="4" t="inlineStr">
        <is>
          <t>年度</t>
        </is>
      </c>
      <c r="B12" s="4" t="inlineStr">
        <is>
          <t>GLD_W 占比</t>
        </is>
      </c>
      <c r="C12" s="4" t="inlineStr">
        <is>
          <t>GLD_K 占比</t>
        </is>
      </c>
      <c r="D12" s="4" t="inlineStr"/>
      <c r="E12" s="4" t="inlineStr"/>
    </row>
    <row r="13">
      <c r="A13" s="12" t="inlineStr">
        <is>
          <t>2023</t>
        </is>
      </c>
      <c r="B13" s="13">
        <f>IFERROR(B6/D6,"")</f>
        <v>0.3955423482</v>
      </c>
      <c r="C13" s="13">
        <f>IFERROR(C6/D6,"")</f>
        <v>0.6044576518</v>
      </c>
    </row>
    <row r="14">
      <c r="A14" s="12" t="inlineStr">
        <is>
          <t>2024</t>
        </is>
      </c>
      <c r="B14" s="13">
        <f>IFERROR(B7/D7,"")</f>
        <v>0.3668103219</v>
      </c>
      <c r="C14" s="13">
        <f>IFERROR(C7/D7,"")</f>
        <v>0.6331896781</v>
      </c>
    </row>
    <row r="15">
      <c r="A15" s="12" t="inlineStr">
        <is>
          <t>2025</t>
        </is>
      </c>
      <c r="B15" s="13">
        <f>IFERROR(B8/D8,"")</f>
        <v>0.4222666905</v>
      </c>
      <c r="C15" s="13">
        <f>IFERROR(C8/D8,"")</f>
        <v>0.5777333095</v>
      </c>
    </row>
    <row r="16"/>
    <row r="17">
      <c r="A17" s="14" t="inlineStr">
        <is>
          <t>說明 / 假設：</t>
        </is>
      </c>
    </row>
    <row r="18">
      <c r="A18" s="15" t="inlineStr">
        <is>
          <t>1. 「標打」取自來源檔工作表「2023-2026標打實績MK內部用」的 IND-GLD / GLD_W / GLD_K 標打欄（該檔另有 MK係数(MKIE/pcs) 版本，本表未採用）。</t>
        </is>
      </c>
    </row>
    <row r="19">
      <c r="A19" s="15" t="inlineStr">
        <is>
          <t>2. 客人範圍：整份來源檔為「to GU」的產能檔（Capacity chart 分頁標題為「Makalot for GU 產能變化沿革」），無其他客人欄位，故標打實績即 GU 訂單。</t>
        </is>
      </c>
    </row>
    <row r="20">
      <c r="A20" s="15" t="inlineStr">
        <is>
          <t xml:space="preserve">   GLD1 平織自 2024/08 起規劃固定線 9 條為 100% GU 專線（來源檔註記）。</t>
        </is>
      </c>
    </row>
    <row r="21">
      <c r="A21" s="15" t="inlineStr">
        <is>
          <t>3. 年度值以四季加總（公式），與來源檔自身年度欄位差異 ≤1 標打（來源四捨五入）。</t>
        </is>
      </c>
    </row>
    <row r="22">
      <c r="A22" s="15" t="inlineStr">
        <is>
          <t>4. GLD = 印尼 GLD1 廠；2024-Q3 起才分「GLD_W 平織 / GLD_K 針織」固定線，2023~2024-Q2 的 MAX 僅有 GLD 合併標準（2023: 6萬標打/月、2024: 7萬標打/月）。</t>
        </is>
      </c>
    </row>
    <row r="23">
      <c r="A23" s="15" t="inlineStr">
        <is>
          <t>5. 2025 下半年 MAX 下修係因 GU 自 2025/09 EXF 起改以 MIN 標準計算（來源檔註記 MIN Standard）。</t>
        </is>
      </c>
    </row>
    <row r="24">
      <c r="A24" s="15" t="inlineStr">
        <is>
          <t>6. 來源檔另一分頁「2023-26 IND」的 2025 數字與主表不同，差異對照見「來源差異對照」分頁。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3" customWidth="1" min="7" max="7"/>
    <col width="13" customWidth="1" min="8" max="8"/>
    <col width="10" customWidth="1" min="9" max="9"/>
  </cols>
  <sheetData>
    <row r="1" ht="32" customHeight="1">
      <c r="A1" s="4" t="inlineStr">
        <is>
          <t>期間</t>
        </is>
      </c>
      <c r="B1" s="4" t="inlineStr">
        <is>
          <t>GLD_W 平織
標打</t>
        </is>
      </c>
      <c r="C1" s="4" t="inlineStr">
        <is>
          <t>GLD_K 針織
標打</t>
        </is>
      </c>
      <c r="D1" s="4" t="inlineStr">
        <is>
          <t>GLD 合計
標打</t>
        </is>
      </c>
      <c r="E1" s="4" t="inlineStr">
        <is>
          <t>GLD_W
MAX</t>
        </is>
      </c>
      <c r="F1" s="4" t="inlineStr">
        <is>
          <t>GLD_K
MAX</t>
        </is>
      </c>
      <c r="G1" s="4" t="inlineStr">
        <is>
          <t>GLD 季 MAX
(合併標準)</t>
        </is>
      </c>
      <c r="H1" s="4" t="inlineStr">
        <is>
          <t>訂單-產能
差異</t>
        </is>
      </c>
      <c r="I1" s="4" t="inlineStr">
        <is>
          <t>達成率</t>
        </is>
      </c>
    </row>
    <row r="2">
      <c r="A2" s="12" t="inlineStr">
        <is>
          <t>2023-Q1</t>
        </is>
      </c>
      <c r="B2" s="16" t="n">
        <v>7298</v>
      </c>
      <c r="C2" s="16" t="n">
        <v>117824</v>
      </c>
      <c r="D2" s="16">
        <f>B2+C2</f>
        <v>125122</v>
      </c>
      <c r="E2" s="16" t="inlineStr">
        <is>
          <t>-</t>
        </is>
      </c>
      <c r="F2" s="16" t="inlineStr">
        <is>
          <t>-</t>
        </is>
      </c>
      <c r="G2" s="16" t="n">
        <v>180000</v>
      </c>
      <c r="H2" s="16">
        <f>D2-G2</f>
        <v>-54878</v>
      </c>
      <c r="I2" s="13">
        <f>IFERROR(D2/G2,"")</f>
        <v>0.6951222222</v>
      </c>
    </row>
    <row r="3">
      <c r="A3" s="12" t="inlineStr">
        <is>
          <t>2023-Q2</t>
        </is>
      </c>
      <c r="B3" s="16" t="n">
        <v>19158</v>
      </c>
      <c r="C3" s="16" t="n">
        <v>87235</v>
      </c>
      <c r="D3" s="16">
        <f>B3+C3</f>
        <v>106393</v>
      </c>
      <c r="E3" s="16" t="inlineStr">
        <is>
          <t>-</t>
        </is>
      </c>
      <c r="F3" s="16" t="inlineStr">
        <is>
          <t>-</t>
        </is>
      </c>
      <c r="G3" s="16" t="n">
        <v>180000</v>
      </c>
      <c r="H3" s="16">
        <f>D3-G3</f>
        <v>-73607</v>
      </c>
      <c r="I3" s="13">
        <f>IFERROR(D3/G3,"")</f>
        <v>0.5910722222</v>
      </c>
    </row>
    <row r="4">
      <c r="A4" s="12" t="inlineStr">
        <is>
          <t>2023-Q3</t>
        </is>
      </c>
      <c r="B4" s="16" t="n">
        <v>56395</v>
      </c>
      <c r="C4" s="16" t="n">
        <v>94412</v>
      </c>
      <c r="D4" s="16">
        <f>B4+C4</f>
        <v>150807</v>
      </c>
      <c r="E4" s="16" t="inlineStr">
        <is>
          <t>-</t>
        </is>
      </c>
      <c r="F4" s="16" t="inlineStr">
        <is>
          <t>-</t>
        </is>
      </c>
      <c r="G4" s="16" t="n">
        <v>180000</v>
      </c>
      <c r="H4" s="16">
        <f>D4-G4</f>
        <v>-29193</v>
      </c>
      <c r="I4" s="13">
        <f>IFERROR(D4/G4,"")</f>
        <v>0.8378166667</v>
      </c>
    </row>
    <row r="5">
      <c r="A5" s="12" t="inlineStr">
        <is>
          <t>2023-Q4</t>
        </is>
      </c>
      <c r="B5" s="16" t="n">
        <v>143561</v>
      </c>
      <c r="C5" s="16" t="n">
        <v>46526</v>
      </c>
      <c r="D5" s="16">
        <f>B5+C5</f>
        <v>190087</v>
      </c>
      <c r="E5" s="16" t="inlineStr">
        <is>
          <t>-</t>
        </is>
      </c>
      <c r="F5" s="16" t="inlineStr">
        <is>
          <t>-</t>
        </is>
      </c>
      <c r="G5" s="16" t="n">
        <v>180000</v>
      </c>
      <c r="H5" s="16">
        <f>D5-G5</f>
        <v>10087</v>
      </c>
      <c r="I5" s="13">
        <f>IFERROR(D5/G5,"")</f>
        <v>1.0560388889</v>
      </c>
    </row>
    <row r="6">
      <c r="A6" s="12" t="inlineStr">
        <is>
          <t>2024-Q1</t>
        </is>
      </c>
      <c r="B6" s="16" t="n">
        <v>66519</v>
      </c>
      <c r="C6" s="16" t="n">
        <v>100435</v>
      </c>
      <c r="D6" s="16">
        <f>B6+C6</f>
        <v>166954</v>
      </c>
      <c r="E6" s="16" t="inlineStr">
        <is>
          <t>-</t>
        </is>
      </c>
      <c r="F6" s="16" t="inlineStr">
        <is>
          <t>-</t>
        </is>
      </c>
      <c r="G6" s="16" t="n">
        <v>210000</v>
      </c>
      <c r="H6" s="16">
        <f>D6-G6</f>
        <v>-43046</v>
      </c>
      <c r="I6" s="13">
        <f>IFERROR(D6/G6,"")</f>
        <v>0.7950190476</v>
      </c>
    </row>
    <row r="7">
      <c r="A7" s="12" t="inlineStr">
        <is>
          <t>2024-Q2</t>
        </is>
      </c>
      <c r="B7" s="16" t="n">
        <v>21336</v>
      </c>
      <c r="C7" s="16" t="n">
        <v>68374</v>
      </c>
      <c r="D7" s="16">
        <f>B7+C7</f>
        <v>89710</v>
      </c>
      <c r="E7" s="16" t="inlineStr">
        <is>
          <t>-</t>
        </is>
      </c>
      <c r="F7" s="16" t="inlineStr">
        <is>
          <t>-</t>
        </is>
      </c>
      <c r="G7" s="16" t="n">
        <v>210000</v>
      </c>
      <c r="H7" s="16">
        <f>D7-G7</f>
        <v>-120290</v>
      </c>
      <c r="I7" s="13">
        <f>IFERROR(D7/G7,"")</f>
        <v>0.4271904762</v>
      </c>
    </row>
    <row r="8">
      <c r="A8" s="12" t="inlineStr">
        <is>
          <t>2024-Q3</t>
        </is>
      </c>
      <c r="B8" s="16" t="n">
        <v>15946</v>
      </c>
      <c r="C8" s="16" t="n">
        <v>55535</v>
      </c>
      <c r="D8" s="16">
        <f>B8+C8</f>
        <v>71481</v>
      </c>
      <c r="E8" s="16" t="n">
        <v>54000</v>
      </c>
      <c r="F8" s="16" t="n">
        <v>156000</v>
      </c>
      <c r="G8" s="16" t="n">
        <v>210000</v>
      </c>
      <c r="H8" s="16">
        <f>D8-G8</f>
        <v>-138519</v>
      </c>
      <c r="I8" s="13">
        <f>IFERROR(D8/G8,"")</f>
        <v>0.3403857143</v>
      </c>
    </row>
    <row r="9">
      <c r="A9" s="12" t="inlineStr">
        <is>
          <t>2024-Q4</t>
        </is>
      </c>
      <c r="B9" s="16" t="n">
        <v>40807</v>
      </c>
      <c r="C9" s="16" t="n">
        <v>25279</v>
      </c>
      <c r="D9" s="16">
        <f>B9+C9</f>
        <v>66086</v>
      </c>
      <c r="E9" s="16" t="n">
        <v>54000</v>
      </c>
      <c r="F9" s="16" t="n">
        <v>156000</v>
      </c>
      <c r="G9" s="16" t="n">
        <v>210000</v>
      </c>
      <c r="H9" s="16">
        <f>D9-G9</f>
        <v>-143914</v>
      </c>
      <c r="I9" s="13">
        <f>IFERROR(D9/G9,"")</f>
        <v>0.3146952381</v>
      </c>
    </row>
    <row r="10">
      <c r="A10" s="12" t="inlineStr">
        <is>
          <t>2025-Q1</t>
        </is>
      </c>
      <c r="B10" s="16" t="n">
        <v>74948</v>
      </c>
      <c r="C10" s="16" t="n">
        <v>142336</v>
      </c>
      <c r="D10" s="16">
        <f>B10+C10</f>
        <v>217284</v>
      </c>
      <c r="E10" s="16" t="n">
        <v>54000</v>
      </c>
      <c r="F10" s="16" t="n">
        <v>156000</v>
      </c>
      <c r="G10" s="16" t="n">
        <v>210000</v>
      </c>
      <c r="H10" s="16">
        <f>D10-G10</f>
        <v>7284</v>
      </c>
      <c r="I10" s="13">
        <f>IFERROR(D10/G10,"")</f>
        <v>1.0346857143</v>
      </c>
    </row>
    <row r="11">
      <c r="A11" s="12" t="inlineStr">
        <is>
          <t>2025-Q2</t>
        </is>
      </c>
      <c r="B11" s="16" t="n">
        <v>50446</v>
      </c>
      <c r="C11" s="16" t="n">
        <v>86886</v>
      </c>
      <c r="D11" s="16">
        <f>B11+C11</f>
        <v>137332</v>
      </c>
      <c r="E11" s="16" t="n">
        <v>54000</v>
      </c>
      <c r="F11" s="16" t="n">
        <v>156000</v>
      </c>
      <c r="G11" s="16" t="n">
        <v>210000</v>
      </c>
      <c r="H11" s="16">
        <f>D11-G11</f>
        <v>-72668</v>
      </c>
      <c r="I11" s="13">
        <f>IFERROR(D11/G11,"")</f>
        <v>0.6539619048</v>
      </c>
    </row>
    <row r="12">
      <c r="A12" s="12" t="inlineStr">
        <is>
          <t>2025-Q3</t>
        </is>
      </c>
      <c r="B12" s="16" t="n">
        <v>47944</v>
      </c>
      <c r="C12" s="16" t="n">
        <v>22164</v>
      </c>
      <c r="D12" s="16">
        <f>B12+C12</f>
        <v>70108</v>
      </c>
      <c r="E12" s="16" t="n">
        <v>54000</v>
      </c>
      <c r="F12" s="16" t="n">
        <v>144000</v>
      </c>
      <c r="G12" s="16" t="n">
        <v>198000</v>
      </c>
      <c r="H12" s="16">
        <f>D12-G12</f>
        <v>-127892</v>
      </c>
      <c r="I12" s="13">
        <f>IFERROR(D12/G12,"")</f>
        <v>0.3540808081</v>
      </c>
    </row>
    <row r="13">
      <c r="A13" s="12" t="inlineStr">
        <is>
          <t>2025-Q4</t>
        </is>
      </c>
      <c r="B13" s="16" t="n">
        <v>65537</v>
      </c>
      <c r="C13" s="16" t="n">
        <v>75436</v>
      </c>
      <c r="D13" s="16">
        <f>B13+C13</f>
        <v>140973</v>
      </c>
      <c r="E13" s="16" t="n">
        <v>54000</v>
      </c>
      <c r="F13" s="16" t="n">
        <v>120000</v>
      </c>
      <c r="G13" s="16" t="n">
        <v>174000</v>
      </c>
      <c r="H13" s="16">
        <f>D13-G13</f>
        <v>-33027</v>
      </c>
      <c r="I13" s="13">
        <f>IFERROR(D13/G13,"")</f>
        <v>0.8101896552</v>
      </c>
    </row>
    <row r="14">
      <c r="A14" s="8" t="inlineStr">
        <is>
          <t>合計</t>
        </is>
      </c>
      <c r="B14" s="9">
        <f>SUM(B2:B13)</f>
        <v>609895</v>
      </c>
      <c r="C14" s="9">
        <f>SUM(C2:C13)</f>
        <v>922442</v>
      </c>
      <c r="D14" s="9">
        <f>SUM(D2:D13)</f>
        <v>1532337</v>
      </c>
      <c r="E14" s="17" t="n"/>
      <c r="F14" s="17" t="n"/>
      <c r="G14" s="9">
        <f>SUM(G2:G13)</f>
        <v>2352000</v>
      </c>
      <c r="H14" s="9">
        <f>SUM(H2:H13)</f>
        <v>-819663</v>
      </c>
      <c r="I14" s="10">
        <f>IFERROR(D14/G14,"")</f>
        <v>0.6515038265</v>
      </c>
    </row>
    <row r="15"/>
    <row r="16">
      <c r="A16" s="15" t="inlineStr">
        <is>
          <t>註：GLD_W / GLD_K 的 MAX 自 2024-Q3 固定線制度開始才分列；G 欄為 GLD 整體季產能標準，適用全期間。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7" customWidth="1" min="4" max="4"/>
    <col width="12" customWidth="1" min="5" max="5"/>
  </cols>
  <sheetData>
    <row r="1">
      <c r="A1" s="18" t="inlineStr">
        <is>
          <t>2025 年：來源檔兩個分頁的 GLD 標打差異</t>
        </is>
      </c>
    </row>
    <row r="2">
      <c r="A2" s="15" t="inlineStr">
        <is>
          <t>主表「2023-2026標打實績MK內部用」為對 GU 呈現版本（本分析採用）；「2023-26 IND」為內部明細分頁，2025 數字略有更新。</t>
        </is>
      </c>
    </row>
    <row r="3"/>
    <row r="4" ht="32" customHeight="1">
      <c r="A4" s="4" t="inlineStr">
        <is>
          <t>期間</t>
        </is>
      </c>
      <c r="B4" s="4" t="inlineStr">
        <is>
          <t>項目</t>
        </is>
      </c>
      <c r="C4" s="4" t="inlineStr">
        <is>
          <t>主表 (採用)</t>
        </is>
      </c>
      <c r="D4" s="4" t="inlineStr">
        <is>
          <t>2023-26 IND 分頁</t>
        </is>
      </c>
      <c r="E4" s="4" t="inlineStr">
        <is>
          <t>差異</t>
        </is>
      </c>
    </row>
    <row r="5">
      <c r="A5" s="12" t="inlineStr">
        <is>
          <t>2025-Q1</t>
        </is>
      </c>
      <c r="B5" s="12" t="inlineStr">
        <is>
          <t>GLD_W 平織</t>
        </is>
      </c>
      <c r="C5" s="16" t="n">
        <v>74948</v>
      </c>
      <c r="D5" s="16" t="n">
        <v>79405</v>
      </c>
      <c r="E5" s="16">
        <f>D5-C5</f>
        <v>4457</v>
      </c>
    </row>
    <row r="6">
      <c r="A6" s="12" t="inlineStr">
        <is>
          <t>2025-Q1</t>
        </is>
      </c>
      <c r="B6" s="12" t="inlineStr">
        <is>
          <t>GLD_K 針織</t>
        </is>
      </c>
      <c r="C6" s="16" t="n">
        <v>142336</v>
      </c>
      <c r="D6" s="16" t="n">
        <v>142336</v>
      </c>
      <c r="E6" s="16">
        <f>D6-C6</f>
        <v>0</v>
      </c>
    </row>
    <row r="7">
      <c r="A7" s="12" t="inlineStr">
        <is>
          <t>2025-Q2</t>
        </is>
      </c>
      <c r="B7" s="12" t="inlineStr">
        <is>
          <t>GLD_W 平織</t>
        </is>
      </c>
      <c r="C7" s="16" t="n">
        <v>50446</v>
      </c>
      <c r="D7" s="16" t="n">
        <v>50446</v>
      </c>
      <c r="E7" s="16">
        <f>D7-C7</f>
        <v>0</v>
      </c>
    </row>
    <row r="8">
      <c r="A8" s="12" t="inlineStr">
        <is>
          <t>2025-Q2</t>
        </is>
      </c>
      <c r="B8" s="12" t="inlineStr">
        <is>
          <t>GLD_K 針織</t>
        </is>
      </c>
      <c r="C8" s="16" t="n">
        <v>86886</v>
      </c>
      <c r="D8" s="16" t="n">
        <v>86886</v>
      </c>
      <c r="E8" s="16">
        <f>D8-C8</f>
        <v>0</v>
      </c>
    </row>
    <row r="9">
      <c r="A9" s="12" t="inlineStr">
        <is>
          <t>2025-Q3</t>
        </is>
      </c>
      <c r="B9" s="12" t="inlineStr">
        <is>
          <t>GLD_W 平織</t>
        </is>
      </c>
      <c r="C9" s="16" t="n">
        <v>47944</v>
      </c>
      <c r="D9" s="16" t="n">
        <v>47929</v>
      </c>
      <c r="E9" s="16">
        <f>D9-C9</f>
        <v>-15</v>
      </c>
    </row>
    <row r="10">
      <c r="A10" s="12" t="inlineStr">
        <is>
          <t>2025-Q3</t>
        </is>
      </c>
      <c r="B10" s="12" t="inlineStr">
        <is>
          <t>GLD_K 針織</t>
        </is>
      </c>
      <c r="C10" s="16" t="n">
        <v>22164</v>
      </c>
      <c r="D10" s="16" t="n">
        <v>22164</v>
      </c>
      <c r="E10" s="16">
        <f>D10-C10</f>
        <v>0</v>
      </c>
    </row>
    <row r="11">
      <c r="A11" s="12" t="inlineStr">
        <is>
          <t>2025-Q4</t>
        </is>
      </c>
      <c r="B11" s="12" t="inlineStr">
        <is>
          <t>GLD_W 平織</t>
        </is>
      </c>
      <c r="C11" s="16" t="n">
        <v>65537</v>
      </c>
      <c r="D11" s="16" t="n">
        <v>65537</v>
      </c>
      <c r="E11" s="16">
        <f>D11-C11</f>
        <v>0</v>
      </c>
    </row>
    <row r="12">
      <c r="A12" s="12" t="inlineStr">
        <is>
          <t>2025-Q4</t>
        </is>
      </c>
      <c r="B12" s="12" t="inlineStr">
        <is>
          <t>GLD_K 針織</t>
        </is>
      </c>
      <c r="C12" s="16" t="n">
        <v>75436</v>
      </c>
      <c r="D12" s="16" t="n">
        <v>75441</v>
      </c>
      <c r="E12" s="16">
        <f>D12-C12</f>
        <v>5</v>
      </c>
    </row>
    <row r="13">
      <c r="A13" s="8" t="inlineStr">
        <is>
          <t>2025 合計</t>
        </is>
      </c>
      <c r="B13" s="8" t="inlineStr">
        <is>
          <t>GLD 全廠</t>
        </is>
      </c>
      <c r="C13" s="9">
        <f>SUM(C5:C12)</f>
        <v>565697</v>
      </c>
      <c r="D13" s="9">
        <f>SUM(D5:D12)</f>
        <v>570144</v>
      </c>
      <c r="E13" s="9">
        <f>D13-C13</f>
        <v>4447</v>
      </c>
    </row>
    <row r="14"/>
    <row r="15">
      <c r="A15" s="15" t="inlineStr">
        <is>
          <t>差異主要來自 2025-Q1 GLD_W（74,948 → 79,405，+4,457），其餘為個位數修正。若要以 IND 明細分頁為準，2025 GLD 合計為 570,145 標打。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2026-09-20T22:49:46Z</dcterms:created>
  <dcterms:modified xsi:type="dcterms:W3CDTF">2026-09-20T22:49:46Z</dcterms:modified>
</cp:coreProperties>
</file>